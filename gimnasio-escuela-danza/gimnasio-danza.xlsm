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trlProps/ctrlProp23.xml" ContentType="application/vnd.ms-excel.controlproperties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ctrlProps/ctrlProp24.xml" ContentType="application/vnd.ms-excel.controlpropertie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2.xml" ContentType="application/vnd.openxmlformats-officedocument.drawing+xml"/>
  <Override PartName="/xl/ctrlProps/ctrlProp25.xml" ContentType="application/vnd.ms-excel.controlproperties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3.xml" ContentType="application/vnd.openxmlformats-officedocument.drawing+xml"/>
  <Override PartName="/xl/ctrlProps/ctrlProp26.xml" ContentType="application/vnd.ms-excel.controlproperties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4.xml" ContentType="application/vnd.openxmlformats-officedocument.drawing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5.xml" ContentType="application/vnd.openxmlformats-officedocument.drawing+xml"/>
  <Override PartName="/xl/ctrlProps/ctrlProp28.xml" ContentType="application/vnd.ms-excel.controlproperties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16.xml" ContentType="application/vnd.openxmlformats-officedocument.drawing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17.xml" ContentType="application/vnd.openxmlformats-officedocument.drawing+xml"/>
  <Override PartName="/xl/ctrlProps/ctrlProp30.xml" ContentType="application/vnd.ms-excel.controlproperties+xml"/>
  <Override PartName="/xl/tables/table15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8.xml" ContentType="application/vnd.openxmlformats-officedocument.drawing+xml"/>
  <Override PartName="/xl/ctrlProps/ctrlProp31.xml" ContentType="application/vnd.ms-excel.controlproperties+xml"/>
  <Override PartName="/xl/tables/table16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9.xml" ContentType="application/vnd.openxmlformats-officedocument.drawing+xml"/>
  <Override PartName="/xl/ctrlProps/ctrlProp32.xml" ContentType="application/vnd.ms-excel.controlproperties+xml"/>
  <Override PartName="/xl/tables/table17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20.xml" ContentType="application/vnd.openxmlformats-officedocument.drawing+xml"/>
  <Override PartName="/xl/ctrlProps/ctrlProp33.xml" ContentType="application/vnd.ms-excel.controlproperties+xml"/>
  <Override PartName="/xl/tables/table18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SSDWD2T/gic-projects/gimnasio-escuela-danza/GimnasioDanza/"/>
    </mc:Choice>
  </mc:AlternateContent>
  <xr:revisionPtr revIDLastSave="0" documentId="13_ncr:1_{A5947ADB-822B-444A-8B7B-5FC23D54546C}" xr6:coauthVersionLast="47" xr6:coauthVersionMax="47" xr10:uidLastSave="{00000000-0000-0000-0000-000000000000}"/>
  <bookViews>
    <workbookView xWindow="12740" yWindow="3680" windowWidth="22260" windowHeight="12640" xr2:uid="{00000000-000D-0000-FFFF-FFFF00000000}"/>
  </bookViews>
  <sheets>
    <sheet name="Home" sheetId="1" r:id="rId1"/>
    <sheet name="Dashboard" sheetId="2" r:id="rId2"/>
    <sheet name="Asistencias" sheetId="3" r:id="rId3"/>
    <sheet name="Clases" sheetId="4" r:id="rId4"/>
    <sheet name="Clientes" sheetId="5" r:id="rId5"/>
    <sheet name="Inscripciones" sheetId="6" r:id="rId6"/>
    <sheet name="Pagos" sheetId="7" r:id="rId7"/>
    <sheet name="Planes" sheetId="8" r:id="rId8"/>
    <sheet name="Profesores" sheetId="9" r:id="rId9"/>
    <sheet name="Asistencias por Clase" sheetId="10" r:id="rId10"/>
    <sheet name="Clases (Activas Inactivas)" sheetId="11" r:id="rId11"/>
    <sheet name="Clases por Profesor" sheetId="12" r:id="rId12"/>
    <sheet name="Clientes por Estado" sheetId="13" r:id="rId13"/>
    <sheet name="Clientes — Retención" sheetId="14" r:id="rId14"/>
    <sheet name="Ingresos por Concepto" sheetId="15" r:id="rId15"/>
    <sheet name="Ingresos por Mes" sheetId="16" r:id="rId16"/>
    <sheet name="Inscripciones por Plan" sheetId="17" r:id="rId17"/>
    <sheet name="Membresías con Saldo Pendiente" sheetId="18" r:id="rId18"/>
    <sheet name="Membresías Vencidas y Por Vence" sheetId="19" r:id="rId19"/>
    <sheet name="Pagos por Método" sheetId="20" r:id="rId20"/>
    <sheet name="Ana_Asistencias" sheetId="21" r:id="rId21"/>
    <sheet name="Ana_Clases" sheetId="22" r:id="rId22"/>
    <sheet name="Ana_Pagos" sheetId="23" r:id="rId23"/>
    <sheet name="Help" sheetId="24" r:id="rId24"/>
    <sheet name="_meta_settings" sheetId="25" state="veryHidden" r:id="rId25"/>
    <sheet name="_meta_reports" sheetId="26" state="veryHidden" r:id="rId26"/>
    <sheet name="_meta_entities" sheetId="27" state="veryHidden" r:id="rId27"/>
    <sheet name="_meta_columns" sheetId="28" state="veryHidden" r:id="rId28"/>
    <sheet name="_meta_validation" sheetId="29" state="veryHidden" r:id="rId29"/>
    <sheet name="_meta_workflow" sheetId="30" state="veryHidden" r:id="rId30"/>
    <sheet name="_meta_business_rules" sheetId="31" state="veryHidden" r:id="rId31"/>
    <sheet name="_audit_log" sheetId="32" state="hidden" r:id="rId32"/>
  </sheets>
  <functionGroups builtInGroupCount="19"/>
  <definedNames>
    <definedName name="_xlnm.Print_Area" localSheetId="20">Ana_Asistencias!$A$1:$L$38</definedName>
    <definedName name="_xlnm.Print_Area" localSheetId="21">Ana_Clases!$A$1:$L$38</definedName>
    <definedName name="_xlnm.Print_Area" localSheetId="22">Ana_Pagos!$A$1:$L$38</definedName>
    <definedName name="_xlnm.Print_Area" localSheetId="2">Asistencias!$A$1:$J$5</definedName>
    <definedName name="_xlnm.Print_Area" localSheetId="9">'Asistencias por Clase'!$A$1:$G$4</definedName>
    <definedName name="_xlnm.Print_Area" localSheetId="3">Clases!$A$1:$J$5</definedName>
    <definedName name="_xlnm.Print_Area" localSheetId="10">'Clases (Activas Inactivas)'!$A$1:$F$4</definedName>
    <definedName name="_xlnm.Print_Area" localSheetId="11">'Clases por Profesor'!$A$1:$F$4</definedName>
    <definedName name="_xlnm.Print_Area" localSheetId="4">Clientes!$A$1:$I$7</definedName>
    <definedName name="_xlnm.Print_Area" localSheetId="13">'Clientes — Retención'!$A$1:$G$4</definedName>
    <definedName name="_xlnm.Print_Area" localSheetId="12">'Clientes por Estado'!$A$1:$F$4</definedName>
    <definedName name="_xlnm.Print_Area" localSheetId="1">Dashboard!$A$1:$I$20</definedName>
    <definedName name="_xlnm.Print_Area" localSheetId="23">Help!$A$1:$C$19</definedName>
    <definedName name="_xlnm.Print_Area" localSheetId="0">Home!$A$1:$I$23</definedName>
    <definedName name="_xlnm.Print_Area" localSheetId="14">'Ingresos por Concepto'!$A$1:$G$4</definedName>
    <definedName name="_xlnm.Print_Area" localSheetId="15">'Ingresos por Mes'!$A$1:$G$4</definedName>
    <definedName name="_xlnm.Print_Area" localSheetId="5">Inscripciones!$A$1:$J$12</definedName>
    <definedName name="_xlnm.Print_Area" localSheetId="16">'Inscripciones por Plan'!$A$1:$H$4</definedName>
    <definedName name="_xlnm.Print_Area" localSheetId="17">'Membresías con Saldo Pendiente'!$A$1:$H$4</definedName>
    <definedName name="_xlnm.Print_Area" localSheetId="18">'Membresías Vencidas y Por Vence'!$A$1:$I$4</definedName>
    <definedName name="_xlnm.Print_Area" localSheetId="6">Pagos!$A$1:$K$5</definedName>
    <definedName name="_xlnm.Print_Area" localSheetId="19">'Pagos por Método'!$A$1:$H$4</definedName>
    <definedName name="_xlnm.Print_Area" localSheetId="7">Planes!$A$1:$I$5</definedName>
    <definedName name="_xlnm.Print_Area" localSheetId="8">Profesores!$A$1:$H$5</definedName>
    <definedName name="DatosExternos_1" localSheetId="9" hidden="1">'Asistencias por Clase'!$A$4:$G$8</definedName>
    <definedName name="DatosExternos_1" localSheetId="10" hidden="1">'Clases (Activas Inactivas)'!$A$4:$F$8</definedName>
    <definedName name="DatosExternos_1" localSheetId="11" hidden="1">'Clases por Profesor'!$A$4:$F$8</definedName>
    <definedName name="DatosExternos_1" localSheetId="13" hidden="1">'Clientes — Retención'!$A$4:$G$10</definedName>
    <definedName name="DatosExternos_1" localSheetId="12" hidden="1">'Clientes por Estado'!$A$4:$F$10</definedName>
    <definedName name="DatosExternos_1" localSheetId="14" hidden="1">'Ingresos por Concepto'!$A$4:$G$8</definedName>
    <definedName name="DatosExternos_1" localSheetId="15" hidden="1">'Ingresos por Mes'!$A$4:$G$8</definedName>
    <definedName name="DatosExternos_1" localSheetId="16" hidden="1">'Inscripciones por Plan'!$A$4:$H$15</definedName>
    <definedName name="DatosExternos_1" localSheetId="17" hidden="1">'Membresías con Saldo Pendiente'!$A$4:$H$13</definedName>
    <definedName name="DatosExternos_1" localSheetId="18" hidden="1">'Membresías Vencidas y Por Vence'!$A$4:$I$13</definedName>
    <definedName name="DatosExternos_1" localSheetId="19" hidden="1">'Pagos por Método'!$A$4:$H$8</definedName>
    <definedName name="dv_asistencias_clase_id" hidden="1">Clases!$A$2:$A$1048576</definedName>
    <definedName name="dv_asistencias_cliente_id" hidden="1">Clientes!$A$2:$A$1048576</definedName>
    <definedName name="dv_clases_profesor_id" hidden="1">Profesores!$A$2:$A$1048576</definedName>
    <definedName name="dv_inscripciones_cliente_id" hidden="1">Clientes!$A$2:$A$1048576</definedName>
    <definedName name="dv_inscripciones_plan_id" hidden="1">Planes!$A$2:$A$1048576</definedName>
    <definedName name="dv_pagos_cliente_id" hidden="1">Clientes!$A$2:$A$1048576</definedName>
    <definedName name="dv_pagos_inscripcion_id" hidden="1">Inscripciones!$A$2:$A$1048576</definedName>
    <definedName name="_xlnm.Print_Titles" localSheetId="2">Asistencias!$1:$1</definedName>
    <definedName name="_xlnm.Print_Titles" localSheetId="9">'Asistencias por Clase'!$1:$1</definedName>
    <definedName name="_xlnm.Print_Titles" localSheetId="3">Clases!$1:$1</definedName>
    <definedName name="_xlnm.Print_Titles" localSheetId="10">'Clases (Activas Inactivas)'!$1:$1</definedName>
    <definedName name="_xlnm.Print_Titles" localSheetId="11">'Clases por Profesor'!$1:$1</definedName>
    <definedName name="_xlnm.Print_Titles" localSheetId="4">Clientes!$1:$1</definedName>
    <definedName name="_xlnm.Print_Titles" localSheetId="13">'Clientes — Retención'!$1:$1</definedName>
    <definedName name="_xlnm.Print_Titles" localSheetId="12">'Clientes por Estado'!$1:$1</definedName>
    <definedName name="_xlnm.Print_Titles" localSheetId="14">'Ingresos por Concepto'!$1:$1</definedName>
    <definedName name="_xlnm.Print_Titles" localSheetId="15">'Ingresos por Mes'!$1:$1</definedName>
    <definedName name="_xlnm.Print_Titles" localSheetId="5">Inscripciones!$1:$1</definedName>
    <definedName name="_xlnm.Print_Titles" localSheetId="16">'Inscripciones por Plan'!$1:$1</definedName>
    <definedName name="_xlnm.Print_Titles" localSheetId="17">'Membresías con Saldo Pendiente'!$1:$1</definedName>
    <definedName name="_xlnm.Print_Titles" localSheetId="18">'Membresías Vencidas y Por Vence'!$1:$1</definedName>
    <definedName name="_xlnm.Print_Titles" localSheetId="6">Pagos!$1:$1</definedName>
    <definedName name="_xlnm.Print_Titles" localSheetId="19">'Pagos por Método'!$1:$1</definedName>
    <definedName name="_xlnm.Print_Titles" localSheetId="7">Planes!$1:$1</definedName>
    <definedName name="_xlnm.Print_Titles" localSheetId="8">Profesores!$1:$1</definedName>
  </definedNames>
  <calcPr calcId="191029"/>
  <pivotCaches>
    <pivotCache cacheId="7" r:id="rId33"/>
    <pivotCache cacheId="11" r:id="rId34"/>
    <pivotCache cacheId="16" r:id="rId3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7" l="1"/>
  <c r="C5" i="7"/>
  <c r="H4" i="7"/>
  <c r="C4" i="7"/>
  <c r="H3" i="7"/>
  <c r="C3" i="7"/>
  <c r="H2" i="7"/>
  <c r="C2" i="7"/>
  <c r="I12" i="6"/>
  <c r="C12" i="6"/>
  <c r="I11" i="6"/>
  <c r="C11" i="6"/>
  <c r="I10" i="6"/>
  <c r="C10" i="6"/>
  <c r="I9" i="6"/>
  <c r="C9" i="6"/>
  <c r="I8" i="6"/>
  <c r="C8" i="6"/>
  <c r="I7" i="6"/>
  <c r="C7" i="6"/>
  <c r="I6" i="6"/>
  <c r="C6" i="6"/>
  <c r="I5" i="6"/>
  <c r="C5" i="6"/>
  <c r="I4" i="6"/>
  <c r="C4" i="6"/>
  <c r="I3" i="6"/>
  <c r="C3" i="6"/>
  <c r="I2" i="6"/>
  <c r="C2" i="6"/>
  <c r="I5" i="4"/>
  <c r="I4" i="4"/>
  <c r="I3" i="4"/>
  <c r="I2" i="4"/>
  <c r="F5" i="3"/>
  <c r="D5" i="3"/>
  <c r="F4" i="3"/>
  <c r="D4" i="3"/>
  <c r="F3" i="3"/>
  <c r="D3" i="3"/>
  <c r="F2" i="3"/>
  <c r="D2" i="3"/>
  <c r="L19" i="2"/>
  <c r="L18" i="2"/>
  <c r="L17" i="2"/>
  <c r="L16" i="2"/>
  <c r="L15" i="2"/>
  <c r="L14" i="2"/>
  <c r="L13" i="2"/>
  <c r="F9" i="2"/>
  <c r="D9" i="2"/>
  <c r="B9" i="2"/>
  <c r="H6" i="2"/>
  <c r="F6" i="2"/>
  <c r="D6" i="2"/>
  <c r="B6" i="2"/>
  <c r="B13" i="1"/>
  <c r="H10" i="1"/>
  <c r="E10" i="1"/>
  <c r="B10" i="1"/>
  <c r="H7" i="1"/>
  <c r="E7" i="1"/>
  <c r="B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2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C1" authorId="0" shapeId="0" xr:uid="{00000000-0006-0000-0200-000002000000}">
      <text>
        <r>
          <rPr>
            <b/>
            <sz val="9"/>
            <color indexed="81"/>
            <rFont val="Calibri"/>
            <family val="2"/>
          </rPr>
          <t>References Clases.</t>
        </r>
      </text>
    </comment>
    <comment ref="D1" authorId="0" shapeId="0" xr:uid="{00000000-0006-0000-0200-000003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E1" authorId="0" shapeId="0" xr:uid="{00000000-0006-0000-0200-000004000000}">
      <text>
        <r>
          <rPr>
            <b/>
            <sz val="9"/>
            <color indexed="81"/>
            <rFont val="Calibri"/>
            <family val="2"/>
          </rPr>
          <t>References Clientes.</t>
        </r>
      </text>
    </comment>
    <comment ref="F1" authorId="0" shapeId="0" xr:uid="{00000000-0006-0000-0200-000005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3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H1" authorId="0" shapeId="0" xr:uid="{00000000-0006-0000-0300-000002000000}">
      <text>
        <r>
          <rPr>
            <b/>
            <sz val="9"/>
            <color indexed="81"/>
            <rFont val="Calibri"/>
            <family val="2"/>
          </rPr>
          <t>References Profesores.</t>
        </r>
      </text>
    </comment>
    <comment ref="I1" authorId="0" shapeId="0" xr:uid="{00000000-0006-0000-0300-000003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4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5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B1" authorId="0" shapeId="0" xr:uid="{00000000-0006-0000-0500-000002000000}">
      <text>
        <r>
          <rPr>
            <b/>
            <sz val="9"/>
            <color indexed="81"/>
            <rFont val="Calibri"/>
            <family val="2"/>
          </rPr>
          <t>References Clientes.</t>
        </r>
      </text>
    </comment>
    <comment ref="C1" authorId="0" shapeId="0" xr:uid="{00000000-0006-0000-0500-000003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H1" authorId="0" shapeId="0" xr:uid="{00000000-0006-0000-0500-000004000000}">
      <text>
        <r>
          <rPr>
            <b/>
            <sz val="9"/>
            <color indexed="81"/>
            <rFont val="Calibri"/>
            <family val="2"/>
          </rPr>
          <t>References Planes.</t>
        </r>
      </text>
    </comment>
    <comment ref="I1" authorId="0" shapeId="0" xr:uid="{00000000-0006-0000-0500-000005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6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  <comment ref="B1" authorId="0" shapeId="0" xr:uid="{00000000-0006-0000-0600-000002000000}">
      <text>
        <r>
          <rPr>
            <b/>
            <sz val="9"/>
            <color indexed="81"/>
            <rFont val="Calibri"/>
            <family val="2"/>
          </rPr>
          <t>References Clientes.</t>
        </r>
      </text>
    </comment>
    <comment ref="C1" authorId="0" shapeId="0" xr:uid="{00000000-0006-0000-0600-000003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  <comment ref="G1" authorId="0" shapeId="0" xr:uid="{00000000-0006-0000-0600-000004000000}">
      <text>
        <r>
          <rPr>
            <b/>
            <sz val="9"/>
            <color indexed="81"/>
            <rFont val="Calibri"/>
            <family val="2"/>
          </rPr>
          <t>References Inscripciones.</t>
        </r>
      </text>
    </comment>
    <comment ref="H1" authorId="0" shapeId="0" xr:uid="{00000000-0006-0000-0600-000005000000}">
      <text>
        <r>
          <rPr>
            <b/>
            <sz val="9"/>
            <color indexed="81"/>
            <rFont val="Calibri"/>
            <family val="2"/>
          </rPr>
          <t>Lookup label filled from the referenced table.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7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SQLForge</author>
  </authors>
  <commentList>
    <comment ref="A1" authorId="0" shapeId="0" xr:uid="{00000000-0006-0000-0800-000001000000}">
      <text>
        <r>
          <rPr>
            <b/>
            <sz val="9"/>
            <color indexed="81"/>
            <rFont val="Calibri"/>
            <family val="2"/>
          </rPr>
          <t>Primary key.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92DFC8-FBC2-2E4A-8262-CAF8E1BA728A}" keepAlive="1" name="Conexión" type="5" refreshedVersion="8" saveData="1">
    <dbPr connection="Provider=Microsoft.Mashup.OleDb.1;Data Source=$Workbook$;Location=qry_rpt_asistencias_por_clase;Extended Properties=&quot;&quot;" command="SELECT * FROM [qry_rpt_asistencias_por_clase]"/>
  </connection>
  <connection id="2" xr16:uid="{D0ABCB5F-5611-FE4C-AA76-95BCD6E51D54}" keepAlive="1" name="Conexión1" type="5" refreshedVersion="0" background="1">
    <dbPr connection="Provider=Microsoft.Mashup.OleDb.1;Data Source=$Workbook$;Location=qry_rpt_clases_estado;Extended Properties=&quot;&quot;" commandType="0"/>
  </connection>
  <connection id="3" xr16:uid="{C46A95A3-0B88-054B-A33B-0DC5C678DFC5}" keepAlive="1" name="Conexión10" type="5" refreshedVersion="8" saveData="1">
    <dbPr connection="Provider=Microsoft.Mashup.OleDb.1;Data Source=$Workbook$;Location=qry_rpt_membresias_saldo;Extended Properties=&quot;&quot;" command="SELECT * FROM [qry_rpt_membresias_saldo]"/>
  </connection>
  <connection id="4" xr16:uid="{9C481FB3-2451-7449-BE86-B585A20753F0}" keepAlive="1" name="Conexión11" type="5" refreshedVersion="8" saveData="1">
    <dbPr connection="Provider=Microsoft.Mashup.OleDb.1;Data Source=$Workbook$;Location=qry_rpt_membresias_vencer;Extended Properties=&quot;&quot;" command="SELECT * FROM [qry_rpt_membresias_vencer]"/>
  </connection>
  <connection id="5" xr16:uid="{1935CC53-2F47-BE4E-9513-76EBE810716C}" keepAlive="1" name="Conexión12" type="5" refreshedVersion="8" saveData="1">
    <dbPr connection="Provider=Microsoft.Mashup.OleDb.1;Data Source=$Workbook$;Location=qry_rpt_pagos_por_metodo;Extended Properties=&quot;&quot;" command="SELECT * FROM [qry_rpt_pagos_por_metodo]"/>
  </connection>
  <connection id="6" xr16:uid="{03E24355-7327-9047-B179-EE1BEB9892F3}" keepAlive="1" name="Conexión13" type="5" refreshedVersion="8" saveData="1">
    <dbPr connection="Provider=Microsoft.Mashup.OleDb.1;Data Source=$Workbook$;Location=qry_rpt_clases_por_profesor;Extended Properties=&quot;&quot;" command="SELECT * FROM [qry_rpt_clases_por_profesor]"/>
  </connection>
  <connection id="7" xr16:uid="{D5269A5C-49B9-4E49-A88D-9F4DA39FC88A}" keepAlive="1" name="Conexión2" type="5" refreshedVersion="8" saveData="1">
    <dbPr connection="Provider=Microsoft.Mashup.OleDb.1;Data Source=$Workbook$;Location=qry_rpt_asistencias_por_clase;Extended Properties=&quot;&quot;" command="SELECT * FROM [qry_rpt_asistencias_por_clase]"/>
  </connection>
  <connection id="8" xr16:uid="{991D7ACB-B889-9B4A-A3A7-9713377E4B70}" keepAlive="1" name="Conexión3" type="5" refreshedVersion="8" saveData="1">
    <dbPr connection="Provider=Microsoft.Mashup.OleDb.1;Data Source=$Workbook$;Location=qry_rpt_clases_estado;Extended Properties=&quot;&quot;" command="SELECT * FROM [qry_rpt_clases_estado]"/>
  </connection>
  <connection id="9" xr16:uid="{A316F940-2A39-C74F-9C25-E6338F9B5C38}" keepAlive="1" name="Conexión4" type="5" refreshedVersion="0" background="1">
    <dbPr connection="Provider=Microsoft.Mashup.OleDb.1;Data Source=$Workbook$;Location=qry_rpt_clases_por_profesor;Extended Properties=&quot;&quot;" commandType="0"/>
  </connection>
  <connection id="10" xr16:uid="{5EFF2357-4F7A-B544-907F-2822F4154E31}" keepAlive="1" name="Conexión5" type="5" refreshedVersion="8" saveData="1">
    <dbPr connection="Provider=Microsoft.Mashup.OleDb.1;Data Source=$Workbook$;Location=qry_rpt_clientes_por_estado;Extended Properties=&quot;&quot;" command="SELECT * FROM [qry_rpt_clientes_por_estado]"/>
  </connection>
  <connection id="11" xr16:uid="{CAB3959B-3DAC-7A4E-B1EA-2EDBB39F4008}" keepAlive="1" name="Conexión6" type="5" refreshedVersion="8" saveData="1">
    <dbPr connection="Provider=Microsoft.Mashup.OleDb.1;Data Source=$Workbook$;Location=qry_rpt_clientes_retencion;Extended Properties=&quot;&quot;" command="SELECT * FROM [qry_rpt_clientes_retencion]"/>
  </connection>
  <connection id="12" xr16:uid="{469E7CEF-3162-7747-87A1-FBE75AE3ED6D}" keepAlive="1" name="Conexión7" type="5" refreshedVersion="8" saveData="1">
    <dbPr connection="Provider=Microsoft.Mashup.OleDb.1;Data Source=$Workbook$;Location=qry_rpt_ingresos_por_concepto;Extended Properties=&quot;&quot;" command="SELECT * FROM [qry_rpt_ingresos_por_concepto]"/>
  </connection>
  <connection id="13" xr16:uid="{E71DA2DC-4910-9247-8066-65092130E87F}" keepAlive="1" name="Conexión8" type="5" refreshedVersion="8" saveData="1">
    <dbPr connection="Provider=Microsoft.Mashup.OleDb.1;Data Source=$Workbook$;Location=qry_rpt_ingresos_por_mes;Extended Properties=&quot;&quot;" command="SELECT * FROM [qry_rpt_ingresos_por_mes]"/>
  </connection>
  <connection id="14" xr16:uid="{9B750624-8AFA-AC4D-A5F3-B633273A5C47}" keepAlive="1" name="Conexión9" type="5" refreshedVersion="8" saveData="1">
    <dbPr connection="Provider=Microsoft.Mashup.OleDb.1;Data Source=$Workbook$;Location=qry_rpt_inscripciones_por_plan;Extended Properties=&quot;&quot;" command="SELECT * FROM [qry_rpt_inscripciones_por_plan]"/>
  </connection>
</connections>
</file>

<file path=xl/sharedStrings.xml><?xml version="1.0" encoding="utf-8"?>
<sst xmlns="http://schemas.openxmlformats.org/spreadsheetml/2006/main" count="2130" uniqueCount="416">
  <si>
    <t>GimnasioDanza</t>
  </si>
  <si>
    <t>Generated by SQLForge on 2026-06-18 — macro-enabled app</t>
  </si>
  <si>
    <t>Data</t>
  </si>
  <si>
    <t>Asistencias</t>
  </si>
  <si>
    <t>Clases</t>
  </si>
  <si>
    <t>Clientes</t>
  </si>
  <si>
    <t>records</t>
  </si>
  <si>
    <t>Inscripciones</t>
  </si>
  <si>
    <t>Pagos</t>
  </si>
  <si>
    <t>Planes</t>
  </si>
  <si>
    <t>Profesores</t>
  </si>
  <si>
    <t>Pages</t>
  </si>
  <si>
    <t>Dashboard</t>
  </si>
  <si>
    <t>rpt_asistencias_por_clase</t>
  </si>
  <si>
    <t>rpt_clases_estado</t>
  </si>
  <si>
    <t>rpt_clases_por_profesor</t>
  </si>
  <si>
    <t>rpt_clientes_por_estado</t>
  </si>
  <si>
    <t>rpt_clientes_retencion</t>
  </si>
  <si>
    <t>rpt_ingresos_por_concepto</t>
  </si>
  <si>
    <t>rpt_ingresos_por_mes</t>
  </si>
  <si>
    <t>rpt_inscripciones_por_plan</t>
  </si>
  <si>
    <t>rpt_membresias_saldo</t>
  </si>
  <si>
    <t>rpt_membresias_vencer</t>
  </si>
  <si>
    <t>rpt_pagos_por_metodo</t>
  </si>
  <si>
    <t>Ana_Asistencias</t>
  </si>
  <si>
    <t>Ana_Clases</t>
  </si>
  <si>
    <t>Ana_Pagos</t>
  </si>
  <si>
    <t>Help</t>
  </si>
  <si>
    <t>If buttons and forms are missing, enable macros: close the file, right-click it in Explorer, Properties, check "Unblock", then reopen.</t>
  </si>
  <si>
    <t>Snapshot values from the generated data sheets.</t>
  </si>
  <si>
    <t>Records by entity</t>
  </si>
  <si>
    <t>Value</t>
  </si>
  <si>
    <t>← Back to Home</t>
  </si>
  <si>
    <t>Id</t>
  </si>
  <si>
    <t>Asistio</t>
  </si>
  <si>
    <t>Clase Id</t>
  </si>
  <si>
    <t>Clase Id (lookup)</t>
  </si>
  <si>
    <t>Cliente Id</t>
  </si>
  <si>
    <t>Cliente Id (lookup)</t>
  </si>
  <si>
    <t>Created At</t>
  </si>
  <si>
    <t>Fecha</t>
  </si>
  <si>
    <t>Notas</t>
  </si>
  <si>
    <t>Updated At</t>
  </si>
  <si>
    <t>Back to Home</t>
  </si>
  <si>
    <t>Activa</t>
  </si>
  <si>
    <t>Capacidad</t>
  </si>
  <si>
    <t>Descripcion</t>
  </si>
  <si>
    <t>Horario</t>
  </si>
  <si>
    <t>Nombre</t>
  </si>
  <si>
    <t>Profesor Id</t>
  </si>
  <si>
    <t>Profesor Id (lookup)</t>
  </si>
  <si>
    <t>Lun-Mie-Vie 07:00</t>
  </si>
  <si>
    <t>Spinning Matutino</t>
  </si>
  <si>
    <t>Mar-Jue 17:00</t>
  </si>
  <si>
    <t>Ballet Intermedio</t>
  </si>
  <si>
    <t>Mie-Vie 19:00</t>
  </si>
  <si>
    <t>Yoga Vinyasa</t>
  </si>
  <si>
    <t>Lun-Mie 18:00</t>
  </si>
  <si>
    <t>Pilates</t>
  </si>
  <si>
    <t>Direccion</t>
  </si>
  <si>
    <t>Email</t>
  </si>
  <si>
    <t>Estado</t>
  </si>
  <si>
    <t>Fecha Nacimiento</t>
  </si>
  <si>
    <t>Telefono</t>
  </si>
  <si>
    <t>maria@example.com</t>
  </si>
  <si>
    <t>Activo</t>
  </si>
  <si>
    <t>María López</t>
  </si>
  <si>
    <t>555-0101</t>
  </si>
  <si>
    <t>juan@example.com</t>
  </si>
  <si>
    <t>Juan Pérez</t>
  </si>
  <si>
    <t>555-0102</t>
  </si>
  <si>
    <t>ana@example.com</t>
  </si>
  <si>
    <t>Ana Rodríguez</t>
  </si>
  <si>
    <t>555-0103</t>
  </si>
  <si>
    <t>carlos@example.com</t>
  </si>
  <si>
    <t>Inactivo</t>
  </si>
  <si>
    <t>Carlos Sánchez</t>
  </si>
  <si>
    <t>555-0104</t>
  </si>
  <si>
    <t>test5@example.com</t>
  </si>
  <si>
    <t>Test Cliente 5</t>
  </si>
  <si>
    <t>555-0105</t>
  </si>
  <si>
    <t>daniel@example.com</t>
  </si>
  <si>
    <t>Daniel Salazar</t>
  </si>
  <si>
    <t>555-0106</t>
  </si>
  <si>
    <t>Fecha Fin</t>
  </si>
  <si>
    <t>Fecha Inicio</t>
  </si>
  <si>
    <t>Plan Id</t>
  </si>
  <si>
    <t>Plan Id (lookup)</t>
  </si>
  <si>
    <t>Vencida</t>
  </si>
  <si>
    <t>Concepto</t>
  </si>
  <si>
    <t>Fecha Pago</t>
  </si>
  <si>
    <t>Inscripcion Id</t>
  </si>
  <si>
    <t>Inscripcion Id (lookup)</t>
  </si>
  <si>
    <t>Metodo</t>
  </si>
  <si>
    <t>Monto</t>
  </si>
  <si>
    <t>Membresía Enero</t>
  </si>
  <si>
    <t>Efectivo</t>
  </si>
  <si>
    <t>Tarjeta</t>
  </si>
  <si>
    <t>Combo Enero</t>
  </si>
  <si>
    <t>Transferencia</t>
  </si>
  <si>
    <t>Combo Febrero</t>
  </si>
  <si>
    <t>Duracion Dias</t>
  </si>
  <si>
    <t>Precio</t>
  </si>
  <si>
    <t>Tipo</t>
  </si>
  <si>
    <t>Acceso ilimitado al gimnasio</t>
  </si>
  <si>
    <t>Mensual Gym</t>
  </si>
  <si>
    <t>Gym</t>
  </si>
  <si>
    <t>Acceso a todas las clases de danza</t>
  </si>
  <si>
    <t>Mensual Danza</t>
  </si>
  <si>
    <t>Danza</t>
  </si>
  <si>
    <t>Acceso completo al gimnasio y danza</t>
  </si>
  <si>
    <t>Combo Gym+Danza</t>
  </si>
  <si>
    <t>Combo</t>
  </si>
  <si>
    <t>Acceso por un día</t>
  </si>
  <si>
    <t>Pase Diario</t>
  </si>
  <si>
    <t>Otro</t>
  </si>
  <si>
    <t>Especialidad</t>
  </si>
  <si>
    <t>Gimnasio</t>
  </si>
  <si>
    <t>Roberto Silva</t>
  </si>
  <si>
    <t>555-0201</t>
  </si>
  <si>
    <t>Patricia Vega</t>
  </si>
  <si>
    <t>555-0202</t>
  </si>
  <si>
    <t>Yoga</t>
  </si>
  <si>
    <t>Luis Morales</t>
  </si>
  <si>
    <t>555-0203</t>
  </si>
  <si>
    <t>Sofía Castillo</t>
  </si>
  <si>
    <t>555-0204</t>
  </si>
  <si>
    <t>PivotTables nativas sobre 'Asistencias'. Se actualizan al abrir el libro; clic derecho &gt; Actualizar para refrescar.</t>
  </si>
  <si>
    <t>Asistencias por Clase Id (lookup)</t>
  </si>
  <si>
    <t>PivotTable nativa — clic derecho &gt; Actualizar para refrescar.</t>
  </si>
  <si>
    <t>PivotTables nativas sobre 'Clases'. Se actualizan al abrir el libro; clic derecho &gt; Actualizar para refrescar.</t>
  </si>
  <si>
    <t>Clases por Profesor Id (lookup)</t>
  </si>
  <si>
    <t>PivotTables nativas sobre 'Pagos'. Se actualizan al abrir el libro; clic derecho &gt; Actualizar para refrescar.</t>
  </si>
  <si>
    <t>Pagos por Cliente Id (lookup)</t>
  </si>
  <si>
    <t>Editing data</t>
  </si>
  <si>
    <t>Each sheet holds one table. Type directly into cells; press Tab in the last cell of the last row to add a new row.</t>
  </si>
  <si>
    <t>Dropdowns</t>
  </si>
  <si>
    <t>Reference columns offer a dropdown of valid values; the "(lookup)" column next to them shows the related name and fills in automatically.</t>
  </si>
  <si>
    <t>Filtering &amp; sorting</t>
  </si>
  <si>
    <t>Use the arrow buttons in the table header row.</t>
  </si>
  <si>
    <t>The Dashboard sheet recalculates automatically from your data.</t>
  </si>
  <si>
    <t>Forms &amp; buttons</t>
  </si>
  <si>
    <t>With macros enabled, every data sheet gets New / Edit / Delete buttons and a record form with validation.</t>
  </si>
  <si>
    <t>Audit log</t>
  </si>
  <si>
    <t>Changes made through the form are recorded on the (hidden) _audit_log sheet.</t>
  </si>
  <si>
    <t>Data dictionary</t>
  </si>
  <si>
    <t>key</t>
  </si>
  <si>
    <t>value</t>
  </si>
  <si>
    <t>engine_version</t>
  </si>
  <si>
    <t>1.5.0</t>
  </si>
  <si>
    <t>project_name</t>
  </si>
  <si>
    <t>project_slug</t>
  </si>
  <si>
    <t>gimnasio-danza</t>
  </si>
  <si>
    <t>generated_at</t>
  </si>
  <si>
    <t>2026-06-18T17:31:52.698Z</t>
  </si>
  <si>
    <t>template_variant</t>
  </si>
  <si>
    <t>classic</t>
  </si>
  <si>
    <t>excel_theme</t>
  </si>
  <si>
    <t>excel_date_format</t>
  </si>
  <si>
    <t>dd/mm/yyyy</t>
  </si>
  <si>
    <t>excel_datetime_format</t>
  </si>
  <si>
    <t>dd/mm/yyyy hh:mm</t>
  </si>
  <si>
    <t>excel_protection_enabled</t>
  </si>
  <si>
    <t>1</t>
  </si>
  <si>
    <t>excel_row_limit</t>
  </si>
  <si>
    <t>50000</t>
  </si>
  <si>
    <t>audit_sheet</t>
  </si>
  <si>
    <t>_audit_log</t>
  </si>
  <si>
    <t>sheet</t>
  </si>
  <si>
    <t>query_name</t>
  </si>
  <si>
    <t>target_cell</t>
  </si>
  <si>
    <t>m_code</t>
  </si>
  <si>
    <t>columns_json</t>
  </si>
  <si>
    <t>display_title</t>
  </si>
  <si>
    <t>description</t>
  </si>
  <si>
    <t>Asistencias por Clase</t>
  </si>
  <si>
    <t>qry_rpt_asistencias_por_clase</t>
  </si>
  <si>
    <t>A4</t>
  </si>
  <si>
    <t>let
    stg_Asistencias = Excel.CurrentWorkbook(){[Name="tblAsistencias"]}[Content],
    stg_Clases = Excel.CurrentWorkbook(){[Name="tblClases"]}[Content],
    stg_Clientes = Excel.CurrentWorkbook(){[Name="tblClientes"]}[Content],
    stg_Profesores = Excel.CurrentWorkbook(){[Name="tblProfesores"]}[Content],
    Source = stg_Asistencias,
    JoinClase = Table.NestedJoin(Source, {"Clase Id"}, stg_Clases, {"Id"}, "JoinedClase", JoinKind.LeftOuter),
    ExpandClase = Table.ExpandTableColumn(JoinClase, "JoinedClase", {"Nombre", "Profesor Id"}, {"Clase", "Profesor Id"}),
    JoinProf = Table.NestedJoin(ExpandClase, {"Profesor Id"}, stg_Profesores, {"Id"}, "JoinedProf", JoinKind.LeftOuter),
    ExpandProf = Table.ExpandTableColumn(JoinProf, "JoinedProf", {"Nombre"}, {"Profesor"}),
    JoinCliente = Table.NestedJoin(ExpandProf, {"Cliente Id"}, stg_Clientes, {"Id"}, "JoinedCliente", JoinKind.LeftOuter),
    ExpandCliente = Table.ExpandTableColumn(JoinCliente, "JoinedCliente", {"Nombre", "Telefono"}, {"Cliente", "Telefono"}),
    ConFecha = Table.TransformColumns(ExpandCliente, {{"Fecha", each Date.From(_), type date}}),
    ConAsistio = Table.TransformColumns(ConFecha, {{"Asistio", each if _ = 1 then "Sí" else "No", type text}}),
    Columnas = Table.SelectColumns(ConAsistio, {"Fecha", "Clase", "Profesor", "Cliente", "Telefono", "Asistio", "Notas"})
in
    Columnas</t>
  </si>
  <si>
    <t>[{"n":1,"name":"Fecha","display":"Fecha","width":12,"format":"date"},{"n":2,"name":"Clase","display":"Clase","width":24,"format":null},{"n":3,"name":"Profesor","display":"Profesor","width":22,"format":null},{"n":4,"name":"Cliente","display":"Cliente","width":30,"format":null},{"n":5,"name":"Telefono","display":"Telefono","width":14,"format":null},{"n":6,"name":"Asistio","display":"Asistió","width":10,"format":null},{"n":7,"name":"Notas","display":"Notas","width":28,"format":null}]</t>
  </si>
  <si>
    <t>Asistencias con datos de clase, profesor y cliente. Filtra por Clase o Asistió (Sí/No).</t>
  </si>
  <si>
    <t>Clases (Activas Inactivas)</t>
  </si>
  <si>
    <t>qry_rpt_clases_estado</t>
  </si>
  <si>
    <t>let
    stg_Clases = Excel.CurrentWorkbook(){[Name="tblClases"]}[Content],
    stg_Profesores = Excel.CurrentWorkbook(){[Name="tblProfesores"]}[Content],
    Source = stg_Clases,
    Profesores = stg_Profesores,
    ClasesRen = Table.RenameColumns(Source, {{"Nombre", "Clase"}}),
    ConProf = Table.NestedJoin(ClasesRen, {"Profesor Id"}, Profesores, {"Id"}, "p", JoinKind.LeftOuter),
    Expandido = Table.ExpandTableColumn(ConProf, "p", {"Nombre", "Especialidad"}, {"Profesor", "Especialidad"}),
    ConEstado = Table.AddColumn(Expandido, "Estado", each if [Activa] = 1 then "Activa" else "Inactiva"),
    Columnas = Table.SelectColumns(ConEstado, {
        "Clase","Profesor","Especialidad","Horario","Capacidad","Estado"
    })
in
    Columnas</t>
  </si>
  <si>
    <t>[{"n":1,"name":"Clase","display":"Clase","width":24,"format":null},{"n":2,"name":"Profesor","display":"Profesor","width":22,"format":null},{"n":3,"name":"Especialidad","display":"Especialidad","width":16,"format":null},{"n":4,"name":"Horario","display":"Horario","width":18,"format":null},{"n":5,"name":"Capacidad","display":"Capacidad","width":12,"format":"number"},{"n":6,"name":"Estado","display":"Estado","width":12,"format":null}]</t>
  </si>
  <si>
    <t>Clases (Activas/Inactivas)</t>
  </si>
  <si>
    <t>Todas las clases con su estado calculado y profesor. Filtra por Estado, Profesor o Especialidad.</t>
  </si>
  <si>
    <t>Clases por Profesor</t>
  </si>
  <si>
    <t>qry_rpt_clases_por_profesor</t>
  </si>
  <si>
    <t>let
    stg_Clases = Excel.CurrentWorkbook(){[Name="tblClases"]}[Content],
    stg_Profesores = Excel.CurrentWorkbook(){[Name="tblProfesores"]}[Content],
    Source = stg_Clases,
    Profesores = stg_Profesores,
    ClasesRen = Table.RenameColumns(Source, {{"Nombre", "Clase"}}),
    ConProf = Table.NestedJoin(ClasesRen, {"Profesor Id"}, Profesores, {"Id"}, "p", JoinKind.LeftOuter),
    Expandido = Table.ExpandTableColumn(ConProf, "p", {"Nombre", "Especialidad"}, {"Profesor", "Especialidad"}),
    ConActiva = Table.TransformColumns(Expandido, {{"Activa", each if _ = 1 then "Sí" else "No", type text}}),
    Columnas = Table.SelectColumns(ConActiva, {
        "Profesor","Especialidad","Clase","Horario","Capacidad","Activa"
    })
in
    Columnas</t>
  </si>
  <si>
    <t>[{"n":1,"name":"Profesor","display":"Profesor","width":22,"format":null},{"n":2,"name":"Especialidad","display":"Especialidad","width":16,"format":null},{"n":3,"name":"Clase","display":"Clase","width":24,"format":null},{"n":4,"name":"Horario","display":"Horario","width":18,"format":null},{"n":5,"name":"Capacidad","display":"Capacidad","width":12,"format":"number"},{"n":6,"name":"Activa","display":"Activa","width":10,"format":null}]</t>
  </si>
  <si>
    <t>Clases con su profesor y especialidad. Filtra por Profesor, Especialidad o Activa.</t>
  </si>
  <si>
    <t>Clientes por Estado</t>
  </si>
  <si>
    <t>qry_rpt_clientes_por_estado</t>
  </si>
  <si>
    <t>let
    stg_Clientes = Excel.CurrentWorkbook(){[Name="tblClientes"]}[Content],
    stg_Inscripciones = Excel.CurrentWorkbook(){[Name="tblInscripciones"]}[Content],
    Source = stg_Clientes,
    Inscripciones = stg_Inscripciones,
    Conteo = Table.Group(Inscripciones, {"Cliente Id"}, {{"NumInscripciones", each Table.RowCount(_), Int64.Type}}),
    ConJoin = Table.NestedJoin(Source, {"Id"}, Conteo, {"Cliente Id"}, "Conteo", JoinKind.LeftOuter),
    Expandido = Table.ExpandTableColumn(ConJoin, "Conteo", {"NumInscripciones"}, {"NumInscripciones"}),
    Reemplazo = Table.ReplaceValue(Expandido, null, 0, Replacer.ReplaceValue, {"NumInscripciones"}),
    Renombrado = Table.RenameColumns(Reemplazo, {
        {"Nombre","Cliente"},
        {"Created At","FechaAlta"}
    }),
    ConvDate1 = Table.TransformColumns(Renombrado, {{"FechaAlta", each Date.From(_), type date}}),
    Columnas = Table.SelectColumns(ConvDate1, {
        "Cliente","Telefono","Email","Estado",
        "NumInscripciones","FechaAlta"
    })
in
    Columnas</t>
  </si>
  <si>
    <t>[{"n":1,"name":"Cliente","display":"Cliente","width":30,"format":null},{"n":2,"name":"Telefono","display":"Telefono","width":14,"format":null},{"n":3,"name":"Email","display":"Email","width":26,"format":null},{"n":4,"name":"Estado","display":"Estado","width":14,"format":null},{"n":5,"name":"NumInscripciones","display":"# Inscripciones","width":16,"format":"number"},{"n":6,"name":"FechaAlta","display":"Fecha Alta","width":14,"format":"date"}]</t>
  </si>
  <si>
    <t>Lista de clientes con su estado, número de inscripciones y fecha de alta. Filtra por Estado desde el header.</t>
  </si>
  <si>
    <t>Clientes — Retención</t>
  </si>
  <si>
    <t>qry_rpt_clientes_retencion</t>
  </si>
  <si>
    <t>let
    stg_Clientes = Excel.CurrentWorkbook(){[Name="tblClientes"]}[Content],
    stg_Inscripciones = Excel.CurrentWorkbook(){[Name="tblInscripciones"]}[Content],
    stg_Asistencias = Excel.CurrentWorkbook(){[Name="tblAsistencias"]}[Content],
    Source = stg_Clientes,
    Inscripciones = stg_Inscripciones,
    Asistencias = stg_Asistencias,
    ConteoInsc = Table.Group(Inscripciones, {"Cliente Id"}, {{"NumInscripciones", each Table.RowCount(_), Int64.Type}}),
    ConteoAsist = Table.Group(Asistencias, {"Cliente Id"}, {{"NumAsistencias", each Table.RowCount(_), Int64.Type}, {"UltimaAsistencia", each Date.From(List.Max(Table.Column(_, "Fecha"))), type date}}),
    ConInsc = Table.NestedJoin(Source, {"Id"}, ConteoInsc, {"Cliente Id"}, "Insc", JoinKind.LeftOuter),
    Expand1 = Table.ExpandTableColumn(ConInsc, "Insc", {"NumInscripciones"}, {"NumInscripciones"}),
    ConAsist = Table.NestedJoin(Expand1, {"Id"}, ConteoAsist, {"Cliente Id"}, "Asist", JoinKind.LeftOuter),
    Expand2 = Table.ExpandTableColumn(ConAsist, "Asist", {"NumAsistencias","UltimaAsistencia"}, {"NumAsistencias","UltimaAsistencia"}),
    Reemp1 = Table.ReplaceValue(Expand2, null, 0, Replacer.ReplaceValue, {"NumInscripciones","NumAsistencias"}),
    Renombrado = Table.RenameColumns(Reemp1, {{"Nombre","Cliente"}}),
    Columnas = Table.SelectColumns(Renombrado, {
        "Cliente","Telefono","Email","Estado",
        "NumInscripciones","NumAsistencias","UltimaAsistencia"
    })
in
    Columnas</t>
  </si>
  <si>
    <t>[{"n":1,"name":"Cliente","display":"Cliente","width":30,"format":null},{"n":2,"name":"Telefono","display":"Telefono","width":14,"format":null},{"n":3,"name":"Email","display":"Email","width":26,"format":null},{"n":4,"name":"Estado","display":"Estado","width":14,"format":null},{"n":5,"name":"NumInscripciones","display":"# Inscripciones","width":16,"format":"number"},{"n":6,"name":"NumAsistencias","display":"# Asistencias","width":16,"format":"number"},{"n":7,"name":"UltimaAsistencia","display":"Última Asistencia","width":18,"format":"date"}]</t>
  </si>
  <si>
    <t>Métricas de retención: número de inscripciones, número de asistencias y última asistencia. Filtra por Estado.</t>
  </si>
  <si>
    <t>Ingresos por Concepto</t>
  </si>
  <si>
    <t>qry_rpt_ingresos_por_concepto</t>
  </si>
  <si>
    <t>let
    stg_Pagos = Excel.CurrentWorkbook(){[Name="tblPagos"]}[Content],
    stg_Clientes = Excel.CurrentWorkbook(){[Name="tblClientes"]}[Content],
    stg_Inscripciones = Excel.CurrentWorkbook(){[Name="tblInscripciones"]}[Content],
    Source = stg_Pagos,
    Clientes = stg_Clientes,
    Inscripciones = stg_Inscripciones,
    ClientesIdx = Table.SelectColumns(Clientes, {"Id","Nombre","Telefono"}),
    InscripcionesIdx = Table.SelectColumns(Inscripciones, {"Id","Plan Id (lookup)"}),
    ConCliente = Table.NestedJoin(Source, {"Cliente Id"}, ClientesIdx, {"Id"}, "Cliente", JoinKind.LeftOuter),
    Expand1 = Table.ExpandTableColumn(ConCliente, "Cliente", {"Nombre","Telefono"}, {"Cliente","Telefono"}),
    ConInsc = Table.NestedJoin(Expand1, {"Inscripcion Id"}, InscripcionesIdx, {"Id"}, "Insc", JoinKind.LeftOuter),
    Expand2 = Table.ExpandTableColumn(ConInsc, "Insc", {"Plan Id (lookup)"}, {"Plan"}),
    Renombrado = Table.RenameColumns(Expand2, {{"Fecha Pago","Fecha"}}),
    ConFecha = Table.TransformColumns(Renombrado, {{"Fecha", each Date.From(_), type date}}),
    Columnas = Table.SelectColumns(ConFecha, {"Fecha","Cliente","Telefono","Plan","Monto","Concepto","Metodo"})
in
    Columnas</t>
  </si>
  <si>
    <t>[{"n":1,"name":"Fecha","display":"Fecha","width":12,"format":"date"},{"n":2,"name":"Cliente","display":"Cliente","width":30,"format":null},{"n":3,"name":"Telefono","display":"Telefono","width":14,"format":null},{"n":4,"name":"Plan","display":"Plan","width":24,"format":null},{"n":5,"name":"Monto","display":"Monto","width":14,"format":"currency"},{"n":6,"name":"Concepto","display":"Concepto","width":26,"format":null},{"n":7,"name":"Metodo","display":"Metodo","width":14,"format":null}]</t>
  </si>
  <si>
    <t>Pagos con información de cliente y plan. Filtra por Concepto, Método o Plan.</t>
  </si>
  <si>
    <t>Ingresos por Mes</t>
  </si>
  <si>
    <t>qry_rpt_ingresos_por_mes</t>
  </si>
  <si>
    <t>let
    stg_Pagos = Excel.CurrentWorkbook(){[Name="tblPagos"]}[Content],
    stg_Clientes = Excel.CurrentWorkbook(){[Name="tblClientes"]}[Content],
    Source = stg_Pagos,
    Clientes = stg_Clientes,
    ClientesIdx = Table.SelectColumns(Clientes, {"Id","Nombre","Telefono"}),
    ConCliente = Table.NestedJoin(Source, {"Cliente Id"}, ClientesIdx, {"Id"}, "Cliente", JoinKind.LeftOuter),
    Expandido = Table.ExpandTableColumn(ConCliente, "Cliente", {"Nombre","Telefono"}, {"Cliente","Telefono"}),
    ConMes = Table.AddColumn(Expandido, "Mes", each Text.Start(Text.From([Fecha Pago], "es-ES"), 7)),
    ConMesOk = Table.ReplaceValue(ConMes, "Mes", each if [Mes] &lt;&gt; null then Text.Replace(Text.Start([Mes], 7), "/", "-") else null, Replacer.ReplaceValue, {"Mes"}),
    Renombrado = Table.RenameColumns(ConMesOk, {{"Fecha Pago","Fecha"}}),
    ConFecha = Table.TransformColumns(Renombrado, {{"Fecha", each Date.From(_), type date}}),
    Columnas = Table.SelectColumns(ConFecha, {"Fecha","Mes","Cliente","Telefono","Monto","Metodo","Concepto"})
in
    Columnas</t>
  </si>
  <si>
    <t>[{"n":1,"name":"Fecha","display":"Fecha","width":12,"format":"date"},{"n":2,"name":"Mes","display":"Mes","width":10,"format":null},{"n":3,"name":"Cliente","display":"Cliente","width":30,"format":null},{"n":4,"name":"Telefono","display":"Telefono","width":14,"format":null},{"n":5,"name":"Monto","display":"Monto","width":14,"format":"currency"},{"n":6,"name":"Metodo","display":"Metodo","width":14,"format":null},{"n":7,"name":"Concepto","display":"Concepto","width":24,"format":null}]</t>
  </si>
  <si>
    <t>Pagos con Mes (aaaa-mm) derivado. Filtra por Mes o Método para ver ingresos por período.</t>
  </si>
  <si>
    <t>Inscripciones por Plan</t>
  </si>
  <si>
    <t>qry_rpt_inscripciones_por_plan</t>
  </si>
  <si>
    <t>let
    stg_Inscripciones = Excel.CurrentWorkbook(){[Name="tblInscripciones"]}[Content],
    stg_Clientes = Excel.CurrentWorkbook(){[Name="tblClientes"]}[Content],
    stg_Planes = Excel.CurrentWorkbook(){[Name="tblPlanes"]}[Content],
    Source = stg_Inscripciones,
    Clientes = stg_Clientes,
    Planes = stg_Planes,
    ClientesRen = Table.RenameColumns(Clientes, {{"Nombre", "Cliente"}}),
    ClientesIdx = Table.SelectColumns(ClientesRen, {"Id","Cliente","Telefono"}),
    PlanesRen = Table.RenameColumns(Planes, {{"Nombre", "Plan"}}),
    PlanesIdx = Table.SelectColumns(PlanesRen, {"Id","Plan","Precio","Duracion Dias"}),
    ConCliente = Table.NestedJoin(Source, {"Cliente Id"}, ClientesIdx, {"Id"}, "c", JoinKind.LeftOuter),
    Expand1 = Table.ExpandTableColumn(ConCliente, "c", {"Cliente","Telefono"}, {"Cliente","Telefono"}),
    ConPlan = Table.NestedJoin(Expand1, {"Plan Id"}, PlanesIdx, {"Id"}, "p", JoinKind.LeftOuter),
    Expand2 = Table.ExpandTableColumn(ConPlan, "p", {"Plan","Precio","Duracion Dias"}, {"Plan","Precio","Duracion Dias"}),
    ConFechas = Table.TransformColumns(Expand2, {{"Fecha Inicio", each Date.From(_), type date}, {"Fecha Fin", each Date.From(_), type date}}),
    Columnas = Table.SelectColumns(ConFechas, {"Cliente","Telefono","Plan","Precio","Duracion Dias","Fecha Inicio","Fecha Fin","Estado"})
in
    Columnas</t>
  </si>
  <si>
    <t>[{"n":1,"name":"Cliente","display":"Cliente","width":30,"format":null},{"n":2,"name":"Telefono","display":"Telefono","width":14,"format":null},{"n":3,"name":"Plan","display":"Plan","width":24,"format":null},{"n":4,"name":"Precio","display":"Precio","width":14,"format":"currency"},{"n":5,"name":"DuracionDias","display":"Duración (días)","width":16,"format":"number"},{"n":6,"name":"FechaInicio","display":"Fecha Inicio","width":14,"format":"date"},{"n":7,"name":"FechaFin","display":"Fecha Fin","width":14,"format":"date"},{"n":8,"name":"Estado","display":"Estado","width":14,"format":null}]</t>
  </si>
  <si>
    <t>Inscripciones con datos del cliente, plan, precio y duración. Filtra por Plan o Estado.</t>
  </si>
  <si>
    <t>Membresías con Saldo Pendiente</t>
  </si>
  <si>
    <t>qry_rpt_membresias_saldo</t>
  </si>
  <si>
    <t>let
    stg_Inscripciones = Excel.CurrentWorkbook(){[Name="tblInscripciones"]}[Content],
    stg_Clientes = Excel.CurrentWorkbook(){[Name="tblClientes"]}[Content],
    stg_Planes = Excel.CurrentWorkbook(){[Name="tblPlanes"]}[Content],
    stg_Pagos = Excel.CurrentWorkbook(){[Name="tblPagos"]}[Content],
    Source = stg_Inscripciones,
    Clientes = stg_Clientes,
    Planes = stg_Planes,
    Pagos = stg_Pagos,
    ClientesRen = Table.RenameColumns(Clientes, {{"Nombre", "Cliente"}}),
    ClientesIdx = Table.SelectColumns(ClientesRen, {"Id","Cliente","Telefono"}),
    PlanesRen = Table.RenameColumns(Planes, {{"Nombre", "Plan"}}),
    PlanesIdx = Table.SelectColumns(PlanesRen, {"Id","Plan","Precio"}),
    SumaPagos = Table.Group(Pagos, {"Inscripcion Id"}, {{"Pagado", each List.Sum([Monto]), type number}}),
    Activas = Table.SelectRows(Source, each [Estado] = "Activa"),
    ConCliente = Table.NestedJoin(Activas, {"Cliente Id"}, ClientesIdx, {"Id"}, "c", JoinKind.LeftOuter),
    Expand1 = Table.ExpandTableColumn(ConCliente, "c", {"Cliente","Telefono"}, {"Cliente","Telefono"}),
    ConPlan = Table.NestedJoin(Expand1, {"Plan Id"}, PlanesIdx, {"Id"}, "p", JoinKind.LeftOuter),
    Expand2 = Table.ExpandTableColumn(ConPlan, "p", {"Plan","Precio"}, {"Plan","Precio"}),
    ConPagos = Table.NestedJoin(Expand2, {"Id"}, SumaPagos, {"Inscripcion Id"}, "pg", JoinKind.LeftOuter),
    Expand3 = Table.ExpandTableColumn(ConPagos, "pg", {"Pagado"}, {"Pagado"}),
    Reemp1 = Table.ReplaceValue(Expand3, null, 0, Replacer.ReplaceValue, {"Pagado"}),
    ConSaldo = Table.AddColumn(Reemp1, "Saldo", each [Precio] - [Pagado]),
    ConFecha = Table.TransformColumns(ConSaldo, {{"Fecha Fin", each Date.From(_), type date}}),
    Columnas = Table.SelectColumns(ConFecha, {"Cliente","Telefono","Plan","Precio","Pagado","Saldo","Estado","Fecha Fin"})
in
    Columnas</t>
  </si>
  <si>
    <t>[{"n":1,"name":"Cliente","display":"Cliente","width":30,"format":null},{"n":2,"name":"Telefono","display":"Telefono","width":14,"format":null},{"n":3,"name":"Plan","display":"Plan","width":24,"format":null},{"n":4,"name":"Precio","display":"Precio","width":14,"format":"currency"},{"n":5,"name":"Pagado","display":"Pagado","width":14,"format":"currency"},{"n":6,"name":"Saldo","display":"Saldo","width":14,"format":"currency"},{"n":7,"name":"Estado","display":"Estado","width":14,"format":null},{"n":8,"name":"FechaFin","display":"Fecha Fin","width":14,"format":"date"}]</t>
  </si>
  <si>
    <t>Atención operativa. Inscripciones activas con cálculo de Precio (del Plan) - Pagado (suma de Pagos) = Saldo. Filtra por Saldo &gt; 0 para identificar deudores.</t>
  </si>
  <si>
    <t>Membresías Vencidas y Por Vence</t>
  </si>
  <si>
    <t>qry_rpt_membresias_vencer</t>
  </si>
  <si>
    <t>let
    stg_Inscripciones = Excel.CurrentWorkbook(){[Name="tblInscripciones"]}[Content],
    stg_Clientes = Excel.CurrentWorkbook(){[Name="tblClientes"]}[Content],
    Source = stg_Inscripciones,
    Clientes = stg_Clientes,
    ClientesIdx = Table.SelectColumns(Clientes, {"Id","Nombre","Telefono","Email"}),
    ConCliente = Table.NestedJoin(Source, {"Cliente Id"}, ClientesIdx, {"Id"}, "Cliente", JoinKind.LeftOuter),
    Expandido = Table.ExpandTableColumn(ConCliente, "Cliente", {"Nombre","Telefono","Email"}, {"Cliente","Telefono","Email"}),
    ConDias = Table.AddColumn(Expandido, "Dias", each if [Fecha Fin] = null then null else Duration.Days(Date.From([Fecha Fin]) - Date.From(DateTime.LocalNow()))),
    ConAlerta = Table.AddColumn(ConDias, "Alerta", each if [Dias] = null then null else if [Dias] &lt; 0 then "VENCIDA hace " &amp; Number.Abs([Dias]) &amp; " día(s)" else if [Dias] = 0 then "VENCE HOY" else if [Dias] = 1 then "Vence mañana (1 día)" else "Por vencer en " &amp; Text.From([Dias]) &amp; " días"),
    Filtrado = Table.SelectRows(ConAlerta, each [Dias] &lt;&gt; null and [Dias] &lt;= 3),
    Renombrado = Table.RenameColumns(Filtrado, {{"Plan Id (lookup)","Plan"}}),
    ConFechas = Table.TransformColumns(Renombrado, {{"Fecha Inicio", each Date.From(_), type date}, {"Fecha Fin", each Date.From(_), type date}}),
    Columnas = Table.SelectColumns(ConFechas, {"Cliente","Telefono","Email","Plan","Fecha Inicio","Fecha Fin","Dias","Alerta","Estado"})
in
    Columnas</t>
  </si>
  <si>
    <t>[{"n":1,"name":"Cliente","display":"Cliente","width":30,"format":null},{"n":2,"name":"Telefono","display":"Telefono","width":14,"format":null},{"n":3,"name":"Email","display":"Email","width":26,"format":null},{"n":4,"name":"Plan","display":"Plan","width":24,"format":null},{"n":5,"name":"FechaInicio","display":"Fecha Inicio","width":14,"format":"date"},{"n":6,"name":"FechaFin","display":"Fecha Fin","width":14,"format":"date"},{"n":7,"name":"Dias","display":"Días","width":10,"format":"number"},{"n":8,"name":"Alerta","display":"Alerta","width":32,"format":null},{"n":9,"name":"Estado","display":"Estado","width":14,"format":null}]</t>
  </si>
  <si>
    <t>Membresías Vencidas y Por Vencer</t>
  </si>
  <si>
    <t>Atención operativa. Inscripciones cuya fecha de fin está en el pasado, hoy o en los próximos 3 días. La columna Días y Alerta se recalculan al hacer Refresh.</t>
  </si>
  <si>
    <t>Pagos por Método</t>
  </si>
  <si>
    <t>qry_rpt_pagos_por_metodo</t>
  </si>
  <si>
    <t>let
    stg_Pagos = Excel.CurrentWorkbook(){[Name="tblPagos"]}[Content],
    stg_Clientes = Excel.CurrentWorkbook(){[Name="tblClientes"]}[Content],
    stg_Inscripciones = Excel.CurrentWorkbook(){[Name="tblInscripciones"]}[Content],
    Source = stg_Pagos,
    Clientes = stg_Clientes,
    Inscripciones = stg_Inscripciones,
    ClientesIdx = Table.SelectColumns(Clientes, {"Id","Nombre","Telefono","Email"}),
    InscripcionesIdx = Table.SelectColumns(Inscripciones, {"Id","Plan Id","Plan Id (lookup)"}),
    PagosConCliente = Table.NestedJoin(Source, {"Cliente Id"}, ClientesIdx, {"Id"}, "Cliente", JoinKind.LeftOuter),
    PagosExpandido1 = Table.ExpandTableColumn(PagosConCliente, "Cliente", {"Nombre","Telefono","Email"}, {"Cliente","Telefono","Email"}),
    PagosConPlan = Table.NestedJoin(PagosExpandido1, {"Inscripcion Id"}, InscripcionesIdx, {"Id"}, "Insc", JoinKind.LeftOuter),
    PagosExpandido2 = Table.ExpandTableColumn(PagosConPlan, "Insc", {"Plan Id (lookup)"}, {"Plan"}),
    Resultado = Table.RenameColumns(PagosExpandido2, {{"Fecha Pago","Fecha"}}),
    ConFecha = Table.TransformColumns(Resultado, {{"Fecha", each Date.From(_), type date}}),
    Columnas = Table.SelectColumns(ConFecha, {"Fecha","Cliente","Telefono","Email","Plan","Monto","Metodo","Concepto"})
in
    Columnas</t>
  </si>
  <si>
    <t>[{"n":1,"name":"Fecha","display":"Fecha","width":12,"format":"date"},{"n":2,"name":"Cliente","display":"Cliente","width":30,"format":null},{"n":3,"name":"Telefono","display":"Telefono","width":14,"format":null},{"n":4,"name":"Email","display":"Email","width":26,"format":null},{"n":5,"name":"Plan","display":"Plan","width":24,"format":null},{"n":6,"name":"Monto","display":"Monto","width":14,"format":"currency"},{"n":7,"name":"Metodo","display":"Metodo","width":14,"format":null},{"n":8,"name":"Concepto","display":"Concepto","width":24,"format":null}]</t>
  </si>
  <si>
    <t>Reporte de pagos con información del cliente, plan, método y concepto. Filtra por Método desde el header de la tabla.</t>
  </si>
  <si>
    <t>entity</t>
  </si>
  <si>
    <t>table</t>
  </si>
  <si>
    <t>singular</t>
  </si>
  <si>
    <t>plural</t>
  </si>
  <si>
    <t>pk_column</t>
  </si>
  <si>
    <t>pk_header</t>
  </si>
  <si>
    <t>audit_enabled</t>
  </si>
  <si>
    <t>workflow_status_column</t>
  </si>
  <si>
    <t>workflow_status_header</t>
  </si>
  <si>
    <t>asistencias</t>
  </si>
  <si>
    <t>tblAsistencias</t>
  </si>
  <si>
    <t>Asistencia</t>
  </si>
  <si>
    <t>id</t>
  </si>
  <si>
    <t>0</t>
  </si>
  <si>
    <t>clases</t>
  </si>
  <si>
    <t>tblClases</t>
  </si>
  <si>
    <t>Clase</t>
  </si>
  <si>
    <t>clientes</t>
  </si>
  <si>
    <t>tblClientes</t>
  </si>
  <si>
    <t>Cliente</t>
  </si>
  <si>
    <t>inscripciones</t>
  </si>
  <si>
    <t>tblInscripciones</t>
  </si>
  <si>
    <t>Inscripción</t>
  </si>
  <si>
    <t>pagos</t>
  </si>
  <si>
    <t>tblPagos</t>
  </si>
  <si>
    <t>Pago</t>
  </si>
  <si>
    <t>planes</t>
  </si>
  <si>
    <t>tblPlanes</t>
  </si>
  <si>
    <t>Plan</t>
  </si>
  <si>
    <t>profesores</t>
  </si>
  <si>
    <t>tblProfesores</t>
  </si>
  <si>
    <t>Profesor</t>
  </si>
  <si>
    <t>header</t>
  </si>
  <si>
    <t>column</t>
  </si>
  <si>
    <t>type</t>
  </si>
  <si>
    <t>ui_hint</t>
  </si>
  <si>
    <t>is_pk</t>
  </si>
  <si>
    <t>is_fk</t>
  </si>
  <si>
    <t>required</t>
  </si>
  <si>
    <t>is_computed</t>
  </si>
  <si>
    <t>is_lookup_label</t>
  </si>
  <si>
    <t>fk_target_entity</t>
  </si>
  <si>
    <t>fk_target_pk</t>
  </si>
  <si>
    <t>fk_target_display</t>
  </si>
  <si>
    <t>default_value</t>
  </si>
  <si>
    <t>helper_text</t>
  </si>
  <si>
    <t>options</t>
  </si>
  <si>
    <t>is_in_create_form</t>
  </si>
  <si>
    <t>is_in_edit_form</t>
  </si>
  <si>
    <t>display_order</t>
  </si>
  <si>
    <t>integer</t>
  </si>
  <si>
    <t>HIDDEN</t>
  </si>
  <si>
    <t>asistio</t>
  </si>
  <si>
    <t>TEXT</t>
  </si>
  <si>
    <t>clase_id</t>
  </si>
  <si>
    <t>SELECT</t>
  </si>
  <si>
    <t>nombre</t>
  </si>
  <si>
    <t>string</t>
  </si>
  <si>
    <t>cliente_id</t>
  </si>
  <si>
    <t>created_at</t>
  </si>
  <si>
    <t>datetime</t>
  </si>
  <si>
    <t>DATETIME</t>
  </si>
  <si>
    <t>datetime('now')</t>
  </si>
  <si>
    <t>fecha</t>
  </si>
  <si>
    <t>date</t>
  </si>
  <si>
    <t>DATE</t>
  </si>
  <si>
    <t>notas</t>
  </si>
  <si>
    <t>TEXTAREA</t>
  </si>
  <si>
    <t>updated_at</t>
  </si>
  <si>
    <t>''</t>
  </si>
  <si>
    <t>activa</t>
  </si>
  <si>
    <t>capacidad</t>
  </si>
  <si>
    <t>20</t>
  </si>
  <si>
    <t>descripcion</t>
  </si>
  <si>
    <t>horario</t>
  </si>
  <si>
    <t>profesor_id</t>
  </si>
  <si>
    <t>direccion</t>
  </si>
  <si>
    <t>email</t>
  </si>
  <si>
    <t>EMAIL</t>
  </si>
  <si>
    <t>estado</t>
  </si>
  <si>
    <t>'Activo'</t>
  </si>
  <si>
    <t>Activo|Inactivo</t>
  </si>
  <si>
    <t>fecha_nacimiento</t>
  </si>
  <si>
    <t>telefono</t>
  </si>
  <si>
    <t>'Activa'</t>
  </si>
  <si>
    <t>Activa|Vencida</t>
  </si>
  <si>
    <t>fecha_fin</t>
  </si>
  <si>
    <t>fecha_inicio</t>
  </si>
  <si>
    <t>plan_id</t>
  </si>
  <si>
    <t>concepto</t>
  </si>
  <si>
    <t>fecha_pago</t>
  </si>
  <si>
    <t>inscripcion_id</t>
  </si>
  <si>
    <t>metodo</t>
  </si>
  <si>
    <t>'Efectivo'</t>
  </si>
  <si>
    <t>Efectivo|Tarjeta|Transferencia</t>
  </si>
  <si>
    <t>monto</t>
  </si>
  <si>
    <t>float</t>
  </si>
  <si>
    <t>activo</t>
  </si>
  <si>
    <t>duracion_dias</t>
  </si>
  <si>
    <t>30</t>
  </si>
  <si>
    <t>precio</t>
  </si>
  <si>
    <t>tipo</t>
  </si>
  <si>
    <t>'Gym'</t>
  </si>
  <si>
    <t>Gym|Danza|Combo|Otro</t>
  </si>
  <si>
    <t>especialidad</t>
  </si>
  <si>
    <t>'Gimnasio'</t>
  </si>
  <si>
    <t>Gimnasio|Danza|Yoga|Pilates</t>
  </si>
  <si>
    <t>rule_type</t>
  </si>
  <si>
    <t>rule_config</t>
  </si>
  <si>
    <t>error_message</t>
  </si>
  <si>
    <t>severity</t>
  </si>
  <si>
    <t>{"required":true,"autoConfigured":true}</t>
  </si>
  <si>
    <t>Asistio is required.</t>
  </si>
  <si>
    <t>ERROR</t>
  </si>
  <si>
    <t>Clase Id is required.</t>
  </si>
  <si>
    <t>Cliente Id is required.</t>
  </si>
  <si>
    <t>Created At is required.</t>
  </si>
  <si>
    <t>Fecha is required.</t>
  </si>
  <si>
    <t>Id is required.</t>
  </si>
  <si>
    <t>Updated At is required.</t>
  </si>
  <si>
    <t>Activa is required.</t>
  </si>
  <si>
    <t>Capacidad is required.</t>
  </si>
  <si>
    <t>Nombre is required.</t>
  </si>
  <si>
    <t>Profesor Id is required.</t>
  </si>
  <si>
    <t>Estado is required.</t>
  </si>
  <si>
    <t>Fecha Fin is required.</t>
  </si>
  <si>
    <t>Fecha Inicio is required.</t>
  </si>
  <si>
    <t>Plan Id is required.</t>
  </si>
  <si>
    <t>Fecha Pago is required.</t>
  </si>
  <si>
    <t>Inscripcion Id is required.</t>
  </si>
  <si>
    <t>Metodo is required.</t>
  </si>
  <si>
    <t>Monto is required.</t>
  </si>
  <si>
    <t>Activo is required.</t>
  </si>
  <si>
    <t>Duracion Dias is required.</t>
  </si>
  <si>
    <t>Precio is required.</t>
  </si>
  <si>
    <t>Tipo is required.</t>
  </si>
  <si>
    <t>Especialidad is required.</t>
  </si>
  <si>
    <t>status_column</t>
  </si>
  <si>
    <t>state</t>
  </si>
  <si>
    <t>label</t>
  </si>
  <si>
    <t>actions_json</t>
  </si>
  <si>
    <t>event</t>
  </si>
  <si>
    <t>execution_order</t>
  </si>
  <si>
    <t>condition_json</t>
  </si>
  <si>
    <t>action_json</t>
  </si>
  <si>
    <t>source</t>
  </si>
  <si>
    <t>timestamp</t>
  </si>
  <si>
    <t>user</t>
  </si>
  <si>
    <t>record_pk</t>
  </si>
  <si>
    <t>action</t>
  </si>
  <si>
    <t>old_value</t>
  </si>
  <si>
    <t>new_value</t>
  </si>
  <si>
    <t>crud_panel_position.Home</t>
  </si>
  <si>
    <t>Suma de Monto</t>
  </si>
  <si>
    <t>Etiquetas de columna</t>
  </si>
  <si>
    <t>Etiquetas de fila</t>
  </si>
  <si>
    <t>Total general</t>
  </si>
  <si>
    <t>Suma de Activa</t>
  </si>
  <si>
    <t>Suma de Asistio</t>
  </si>
  <si>
    <t>Sí</t>
  </si>
  <si>
    <t>No</t>
  </si>
  <si>
    <t>crud_panel_position.Asistencias por Clase</t>
  </si>
  <si>
    <t>form_position.Asistencias.new</t>
  </si>
  <si>
    <t>732|34</t>
  </si>
  <si>
    <t>form_position.Asistencias</t>
  </si>
  <si>
    <t>crud_panel_position.Asistencias</t>
  </si>
  <si>
    <t>0|31</t>
  </si>
  <si>
    <t>NumInscripciones</t>
  </si>
  <si>
    <t>FechaAlta</t>
  </si>
  <si>
    <t>NumAsistencias</t>
  </si>
  <si>
    <t>UltimaAsistencia</t>
  </si>
  <si>
    <t>Mes</t>
  </si>
  <si>
    <t>15/1/20</t>
  </si>
  <si>
    <t>15/2/20</t>
  </si>
  <si>
    <t>20/1/20</t>
  </si>
  <si>
    <t>10/1/20</t>
  </si>
  <si>
    <t>Pagado</t>
  </si>
  <si>
    <t>Saldo</t>
  </si>
  <si>
    <t>Dias</t>
  </si>
  <si>
    <t>Alerta</t>
  </si>
  <si>
    <t>VENCE HOY</t>
  </si>
  <si>
    <t>Por vencer en 3 días</t>
  </si>
  <si>
    <t>0|0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</si>
</sst>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dd/mm/yyyy\ hh:mm"/>
    <numFmt numFmtId="166" formatCode="yyyy\-mm\-dd"/>
    <numFmt numFmtId="167" formatCode="&quot;$&quot;#,##0.00"/>
  </numFmts>
  <fonts count="15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6"/>
      <color rgb="FF111827"/>
      <name val="Calibri"/>
      <family val="2"/>
    </font>
    <font>
      <u/>
      <sz val="11"/>
      <color rgb="FF2563EB"/>
      <name val="Calibri"/>
      <family val="2"/>
    </font>
    <font>
      <i/>
      <sz val="10"/>
      <color rgb="FF6B7280"/>
      <name val="Calibri"/>
      <family val="2"/>
    </font>
    <font>
      <b/>
      <sz val="22"/>
      <color rgb="FF4F46E5"/>
      <name val="Calibri"/>
      <family val="2"/>
    </font>
    <font>
      <b/>
      <sz val="13"/>
      <color rgb="FF4F46E5"/>
      <name val="Calibri"/>
      <family val="2"/>
    </font>
    <font>
      <b/>
      <sz val="18"/>
      <color rgb="FF111827"/>
      <name val="Calibri"/>
      <family val="2"/>
    </font>
    <font>
      <u/>
      <sz val="11"/>
      <color theme="10"/>
      <name val="Calibri"/>
      <family val="2"/>
    </font>
    <font>
      <b/>
      <sz val="9"/>
      <color indexed="81"/>
      <name val="Calibri"/>
      <family val="2"/>
    </font>
    <font>
      <b/>
      <sz val="14"/>
      <color theme="1"/>
      <name val="Calibri"/>
      <family val="2"/>
    </font>
    <font>
      <i/>
      <sz val="10"/>
      <color rgb="FF646464"/>
      <name val="Calibri"/>
      <family val="2"/>
    </font>
    <font>
      <sz val="8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4F46E5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EEF2FF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rgb="FFD1D5DB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8">
    <xf numFmtId="0" fontId="0" fillId="0" borderId="0" xfId="0"/>
    <xf numFmtId="0" fontId="2" fillId="2" borderId="0" xfId="0" applyFont="1" applyFill="1" applyAlignment="1">
      <alignment vertical="center"/>
    </xf>
    <xf numFmtId="0" fontId="3" fillId="0" borderId="0" xfId="0" applyFont="1"/>
    <xf numFmtId="3" fontId="0" fillId="0" borderId="0" xfId="0" applyNumberFormat="1"/>
    <xf numFmtId="0" fontId="4" fillId="0" borderId="0" xfId="0" applyFont="1" applyProtection="1">
      <protection locked="0"/>
    </xf>
    <xf numFmtId="0" fontId="5" fillId="0" borderId="0" xfId="0" applyFont="1"/>
    <xf numFmtId="0" fontId="6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" fillId="0" borderId="0" xfId="0" applyFont="1"/>
    <xf numFmtId="0" fontId="0" fillId="0" borderId="0" xfId="0" applyAlignment="1">
      <alignment vertical="top" wrapText="1"/>
    </xf>
    <xf numFmtId="0" fontId="1" fillId="3" borderId="1" xfId="0" applyFont="1" applyFill="1" applyBorder="1"/>
    <xf numFmtId="0" fontId="7" fillId="5" borderId="1" xfId="0" applyFont="1" applyFill="1" applyBorder="1" applyAlignment="1">
      <alignment vertical="center" wrapText="1"/>
    </xf>
    <xf numFmtId="3" fontId="8" fillId="5" borderId="1" xfId="0" applyNumberFormat="1" applyFont="1" applyFill="1" applyBorder="1" applyAlignment="1">
      <alignment vertical="center"/>
    </xf>
    <xf numFmtId="0" fontId="6" fillId="3" borderId="1" xfId="0" applyFont="1" applyFill="1" applyBorder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11" fillId="0" borderId="0" xfId="0" applyFont="1"/>
    <xf numFmtId="0" fontId="12" fillId="0" borderId="0" xfId="0" applyFont="1"/>
    <xf numFmtId="0" fontId="9" fillId="0" borderId="0" xfId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0" fillId="0" borderId="0" xfId="0" applyNumberFormat="1"/>
    <xf numFmtId="4" fontId="0" fillId="0" borderId="0" xfId="0" applyNumberFormat="1"/>
    <xf numFmtId="167" fontId="0" fillId="0" borderId="0" xfId="0" applyNumberFormat="1"/>
  </cellXfs>
  <cellStyles count="2">
    <cellStyle name="Hipervínculo" xfId="1" builtinId="8"/>
    <cellStyle name="Normal" xfId="0" builtinId="0"/>
  </cellStyles>
  <dxfs count="27">
    <dxf>
      <numFmt numFmtId="4" formatCode="#,##0.00"/>
    </dxf>
    <dxf>
      <numFmt numFmtId="0" formatCode="General"/>
    </dxf>
    <dxf>
      <numFmt numFmtId="167" formatCode="&quot;$&quot;#,##0.00"/>
    </dxf>
    <dxf>
      <numFmt numFmtId="166" formatCode="yyyy\-mm\-dd"/>
    </dxf>
    <dxf>
      <numFmt numFmtId="4" formatCode="#,##0.00"/>
    </dxf>
    <dxf>
      <numFmt numFmtId="166" formatCode="yyyy\-mm\-dd"/>
    </dxf>
    <dxf>
      <numFmt numFmtId="166" formatCode="yyyy\-mm\-dd"/>
    </dxf>
    <dxf>
      <numFmt numFmtId="166" formatCode="yyyy\-mm\-dd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6" formatCode="yyyy\-mm\-dd"/>
    </dxf>
    <dxf>
      <numFmt numFmtId="166" formatCode="yyyy\-mm\-dd"/>
    </dxf>
    <dxf>
      <numFmt numFmtId="4" formatCode="#,##0.00"/>
    </dxf>
    <dxf>
      <numFmt numFmtId="167" formatCode="&quot;$&quot;#,##0.00"/>
    </dxf>
    <dxf>
      <numFmt numFmtId="167" formatCode="&quot;$&quot;#,##0.00"/>
    </dxf>
    <dxf>
      <numFmt numFmtId="166" formatCode="yyyy\-mm\-dd"/>
    </dxf>
    <dxf>
      <numFmt numFmtId="167" formatCode="&quot;$&quot;#,##0.00"/>
    </dxf>
    <dxf>
      <numFmt numFmtId="166" formatCode="yyyy\-mm\-dd"/>
    </dxf>
    <dxf>
      <numFmt numFmtId="166" formatCode="yyyy\-mm\-dd"/>
    </dxf>
    <dxf>
      <numFmt numFmtId="4" formatCode="#,##0.00"/>
    </dxf>
    <dxf>
      <numFmt numFmtId="4" formatCode="#,##0.00"/>
    </dxf>
    <dxf>
      <numFmt numFmtId="166" formatCode="yyyy\-mm\-dd"/>
    </dxf>
    <dxf>
      <numFmt numFmtId="4" formatCode="#,##0.00"/>
    </dxf>
    <dxf>
      <numFmt numFmtId="4" formatCode="#,##0.00"/>
    </dxf>
    <dxf>
      <numFmt numFmtId="166" formatCode="yyyy\-mm\-dd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c:style val="2"/>
  <c:chart>
    <c:title>
      <c:tx>
        <c:rich>
          <a:bodyPr/>
          <a:lstStyle/>
          <a:p>
            <a:r>
              <a:rPr lang="en-US" sz="1200" b="1">
                <a:solidFill>
                  <a:srgbClr val="4F46E5"/>
                </a:solidFill>
              </a:rPr>
              <a:t>Records by entity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Records by entity</c:v>
          </c:tx>
          <c:invertIfNegative val="1"/>
          <c:cat>
            <c:strRef>
              <c:f>Dashboard!$K$13:$K$19</c:f>
              <c:strCache>
                <c:ptCount val="7"/>
                <c:pt idx="0">
                  <c:v>Asistencias</c:v>
                </c:pt>
                <c:pt idx="1">
                  <c:v>Clases</c:v>
                </c:pt>
                <c:pt idx="2">
                  <c:v>Clientes</c:v>
                </c:pt>
                <c:pt idx="3">
                  <c:v>Inscripciones</c:v>
                </c:pt>
                <c:pt idx="4">
                  <c:v>Pagos</c:v>
                </c:pt>
                <c:pt idx="5">
                  <c:v>Planes</c:v>
                </c:pt>
                <c:pt idx="6">
                  <c:v>Profesores</c:v>
                </c:pt>
              </c:strCache>
            </c:strRef>
          </c:cat>
          <c:val>
            <c:numRef>
              <c:f>Dashboard!$L$13:$L$19</c:f>
              <c:numCache>
                <c:formatCode>#,##0</c:formatCode>
                <c:ptCount val="7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11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37-6549-AD12-FC83B3033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20"/>
      </c:barChart>
      <c:catAx>
        <c:axId val="10"/>
        <c:scaling>
          <c:orientation val="minMax"/>
        </c:scaling>
        <c:delete val="0"/>
        <c:axPos val="b"/>
        <c:numFmt formatCode="General" sourceLinked="1"/>
        <c:majorTickMark val="cross"/>
        <c:minorTickMark val="cross"/>
        <c:tickLblPos val="nextTo"/>
        <c:crossAx val="20"/>
        <c:crosses val="autoZero"/>
        <c:auto val="1"/>
        <c:lblAlgn val="ctr"/>
        <c:lblOffset val="100"/>
        <c:noMultiLvlLbl val="1"/>
      </c:catAx>
      <c:valAx>
        <c:axId val="2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cross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1219200</xdr:colOff>
          <xdr:row>1</xdr:row>
          <xdr:rowOff>304800</xdr:rowOff>
        </xdr:to>
        <xdr:sp macro="" textlink="">
          <xdr:nvSpPr>
            <xdr:cNvPr id="10241" name="sfBtnShowCrudPanel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Abrir Panel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5</xdr:col>
      <xdr:colOff>0</xdr:colOff>
      <xdr:row>22</xdr:row>
      <xdr:rowOff>0</xdr:rowOff>
    </xdr:to>
    <xdr:graphicFrame macro="">
      <xdr:nvGraphicFramePr>
        <xdr:cNvPr id="2" name="Records by entity" descr="Records by entity 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0</xdr:row>
          <xdr:rowOff>50800</xdr:rowOff>
        </xdr:from>
        <xdr:to>
          <xdr:col>11</xdr:col>
          <xdr:colOff>495300</xdr:colOff>
          <xdr:row>1</xdr:row>
          <xdr:rowOff>76200</xdr:rowOff>
        </xdr:to>
        <xdr:sp macro="" textlink="">
          <xdr:nvSpPr>
            <xdr:cNvPr id="1030" name="sfBtnNew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0</xdr:row>
          <xdr:rowOff>50800</xdr:rowOff>
        </xdr:from>
        <xdr:to>
          <xdr:col>13</xdr:col>
          <xdr:colOff>241300</xdr:colOff>
          <xdr:row>1</xdr:row>
          <xdr:rowOff>76200</xdr:rowOff>
        </xdr:to>
        <xdr:sp macro="" textlink="">
          <xdr:nvSpPr>
            <xdr:cNvPr id="1031" name="sfBtnEdi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0</xdr:row>
          <xdr:rowOff>50800</xdr:rowOff>
        </xdr:from>
        <xdr:to>
          <xdr:col>14</xdr:col>
          <xdr:colOff>660400</xdr:colOff>
          <xdr:row>1</xdr:row>
          <xdr:rowOff>76200</xdr:rowOff>
        </xdr:to>
        <xdr:sp macro="" textlink="">
          <xdr:nvSpPr>
            <xdr:cNvPr id="1032" name="sfBtnDele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0</xdr:row>
          <xdr:rowOff>50800</xdr:rowOff>
        </xdr:from>
        <xdr:to>
          <xdr:col>11</xdr:col>
          <xdr:colOff>495300</xdr:colOff>
          <xdr:row>1</xdr:row>
          <xdr:rowOff>76200</xdr:rowOff>
        </xdr:to>
        <xdr:sp macro="" textlink="">
          <xdr:nvSpPr>
            <xdr:cNvPr id="4100" name="sfBtnNew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0</xdr:row>
          <xdr:rowOff>50800</xdr:rowOff>
        </xdr:from>
        <xdr:to>
          <xdr:col>13</xdr:col>
          <xdr:colOff>241300</xdr:colOff>
          <xdr:row>1</xdr:row>
          <xdr:rowOff>76200</xdr:rowOff>
        </xdr:to>
        <xdr:sp macro="" textlink="">
          <xdr:nvSpPr>
            <xdr:cNvPr id="4101" name="sfBtnEdit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0</xdr:row>
          <xdr:rowOff>50800</xdr:rowOff>
        </xdr:from>
        <xdr:to>
          <xdr:col>14</xdr:col>
          <xdr:colOff>660400</xdr:colOff>
          <xdr:row>1</xdr:row>
          <xdr:rowOff>76200</xdr:rowOff>
        </xdr:to>
        <xdr:sp macro="" textlink="">
          <xdr:nvSpPr>
            <xdr:cNvPr id="4102" name="sfBtnDelete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50800</xdr:rowOff>
        </xdr:from>
        <xdr:to>
          <xdr:col>10</xdr:col>
          <xdr:colOff>495300</xdr:colOff>
          <xdr:row>1</xdr:row>
          <xdr:rowOff>76200</xdr:rowOff>
        </xdr:to>
        <xdr:sp macro="" textlink="">
          <xdr:nvSpPr>
            <xdr:cNvPr id="5122" name="sfBtnNew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0</xdr:row>
          <xdr:rowOff>50800</xdr:rowOff>
        </xdr:from>
        <xdr:to>
          <xdr:col>12</xdr:col>
          <xdr:colOff>241300</xdr:colOff>
          <xdr:row>1</xdr:row>
          <xdr:rowOff>76200</xdr:rowOff>
        </xdr:to>
        <xdr:sp macro="" textlink="">
          <xdr:nvSpPr>
            <xdr:cNvPr id="5123" name="sfBtnEdit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317500</xdr:colOff>
          <xdr:row>0</xdr:row>
          <xdr:rowOff>50800</xdr:rowOff>
        </xdr:from>
        <xdr:to>
          <xdr:col>13</xdr:col>
          <xdr:colOff>660400</xdr:colOff>
          <xdr:row>1</xdr:row>
          <xdr:rowOff>76200</xdr:rowOff>
        </xdr:to>
        <xdr:sp macro="" textlink="">
          <xdr:nvSpPr>
            <xdr:cNvPr id="5124" name="sfBtnDelete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0</xdr:row>
          <xdr:rowOff>50800</xdr:rowOff>
        </xdr:from>
        <xdr:to>
          <xdr:col>11</xdr:col>
          <xdr:colOff>495300</xdr:colOff>
          <xdr:row>1</xdr:row>
          <xdr:rowOff>76200</xdr:rowOff>
        </xdr:to>
        <xdr:sp macro="" textlink="">
          <xdr:nvSpPr>
            <xdr:cNvPr id="6150" name="sfBtnNew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0</xdr:row>
          <xdr:rowOff>50800</xdr:rowOff>
        </xdr:from>
        <xdr:to>
          <xdr:col>13</xdr:col>
          <xdr:colOff>241300</xdr:colOff>
          <xdr:row>1</xdr:row>
          <xdr:rowOff>76200</xdr:rowOff>
        </xdr:to>
        <xdr:sp macro="" textlink="">
          <xdr:nvSpPr>
            <xdr:cNvPr id="6151" name="sfBtnEdit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0</xdr:row>
          <xdr:rowOff>50800</xdr:rowOff>
        </xdr:from>
        <xdr:to>
          <xdr:col>14</xdr:col>
          <xdr:colOff>660400</xdr:colOff>
          <xdr:row>1</xdr:row>
          <xdr:rowOff>76200</xdr:rowOff>
        </xdr:to>
        <xdr:sp macro="" textlink="">
          <xdr:nvSpPr>
            <xdr:cNvPr id="6152" name="sfBtnDelete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50800</xdr:rowOff>
        </xdr:from>
        <xdr:to>
          <xdr:col>12</xdr:col>
          <xdr:colOff>495300</xdr:colOff>
          <xdr:row>1</xdr:row>
          <xdr:rowOff>76200</xdr:rowOff>
        </xdr:to>
        <xdr:sp macro="" textlink="">
          <xdr:nvSpPr>
            <xdr:cNvPr id="7174" name="sfBtnNew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50800</xdr:rowOff>
        </xdr:from>
        <xdr:to>
          <xdr:col>14</xdr:col>
          <xdr:colOff>241300</xdr:colOff>
          <xdr:row>1</xdr:row>
          <xdr:rowOff>76200</xdr:rowOff>
        </xdr:to>
        <xdr:sp macro="" textlink="">
          <xdr:nvSpPr>
            <xdr:cNvPr id="7175" name="sfBtnEdit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317500</xdr:colOff>
          <xdr:row>0</xdr:row>
          <xdr:rowOff>50800</xdr:rowOff>
        </xdr:from>
        <xdr:to>
          <xdr:col>15</xdr:col>
          <xdr:colOff>660400</xdr:colOff>
          <xdr:row>1</xdr:row>
          <xdr:rowOff>76200</xdr:rowOff>
        </xdr:to>
        <xdr:sp macro="" textlink="">
          <xdr:nvSpPr>
            <xdr:cNvPr id="7176" name="sfBtnDelete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50800</xdr:rowOff>
        </xdr:from>
        <xdr:to>
          <xdr:col>10</xdr:col>
          <xdr:colOff>495300</xdr:colOff>
          <xdr:row>1</xdr:row>
          <xdr:rowOff>76200</xdr:rowOff>
        </xdr:to>
        <xdr:sp macro="" textlink="">
          <xdr:nvSpPr>
            <xdr:cNvPr id="8194" name="sfBtnNew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0</xdr:row>
          <xdr:rowOff>50800</xdr:rowOff>
        </xdr:from>
        <xdr:to>
          <xdr:col>12</xdr:col>
          <xdr:colOff>241300</xdr:colOff>
          <xdr:row>1</xdr:row>
          <xdr:rowOff>76200</xdr:rowOff>
        </xdr:to>
        <xdr:sp macro="" textlink="">
          <xdr:nvSpPr>
            <xdr:cNvPr id="8195" name="sfBtnEdit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317500</xdr:colOff>
          <xdr:row>0</xdr:row>
          <xdr:rowOff>50800</xdr:rowOff>
        </xdr:from>
        <xdr:to>
          <xdr:col>13</xdr:col>
          <xdr:colOff>660400</xdr:colOff>
          <xdr:row>1</xdr:row>
          <xdr:rowOff>76200</xdr:rowOff>
        </xdr:to>
        <xdr:sp macro="" textlink="">
          <xdr:nvSpPr>
            <xdr:cNvPr id="8196" name="sfBtnDelete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0</xdr:row>
          <xdr:rowOff>50800</xdr:rowOff>
        </xdr:from>
        <xdr:to>
          <xdr:col>9</xdr:col>
          <xdr:colOff>495300</xdr:colOff>
          <xdr:row>1</xdr:row>
          <xdr:rowOff>76200</xdr:rowOff>
        </xdr:to>
        <xdr:sp macro="" textlink="">
          <xdr:nvSpPr>
            <xdr:cNvPr id="9218" name="sfBtnNew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50800</xdr:rowOff>
        </xdr:from>
        <xdr:to>
          <xdr:col>11</xdr:col>
          <xdr:colOff>241300</xdr:colOff>
          <xdr:row>1</xdr:row>
          <xdr:rowOff>76200</xdr:rowOff>
        </xdr:to>
        <xdr:sp macro="" textlink="">
          <xdr:nvSpPr>
            <xdr:cNvPr id="9219" name="sfBtnEdi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317500</xdr:colOff>
          <xdr:row>0</xdr:row>
          <xdr:rowOff>50800</xdr:rowOff>
        </xdr:from>
        <xdr:to>
          <xdr:col>12</xdr:col>
          <xdr:colOff>660400</xdr:colOff>
          <xdr:row>1</xdr:row>
          <xdr:rowOff>76200</xdr:rowOff>
        </xdr:to>
        <xdr:sp macro="" textlink="">
          <xdr:nvSpPr>
            <xdr:cNvPr id="9220" name="sfBtnDelet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1219200</xdr:colOff>
          <xdr:row>1</xdr:row>
          <xdr:rowOff>114300</xdr:rowOff>
        </xdr:to>
        <xdr:sp macro="" textlink="">
          <xdr:nvSpPr>
            <xdr:cNvPr id="11265" name="sfRptRefresh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546100</xdr:colOff>
          <xdr:row>1</xdr:row>
          <xdr:rowOff>114300</xdr:rowOff>
        </xdr:to>
        <xdr:sp macro="" textlink="">
          <xdr:nvSpPr>
            <xdr:cNvPr id="12289" name="sfRptRefresh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546100</xdr:colOff>
          <xdr:row>1</xdr:row>
          <xdr:rowOff>114300</xdr:rowOff>
        </xdr:to>
        <xdr:sp macro="" textlink="">
          <xdr:nvSpPr>
            <xdr:cNvPr id="13313" name="sfRptRefresh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546100</xdr:colOff>
          <xdr:row>1</xdr:row>
          <xdr:rowOff>114300</xdr:rowOff>
        </xdr:to>
        <xdr:sp macro="" textlink="">
          <xdr:nvSpPr>
            <xdr:cNvPr id="14337" name="sfRptRefresh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1219200</xdr:colOff>
          <xdr:row>1</xdr:row>
          <xdr:rowOff>114300</xdr:rowOff>
        </xdr:to>
        <xdr:sp macro="" textlink="">
          <xdr:nvSpPr>
            <xdr:cNvPr id="15361" name="sfRptRefresh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152400</xdr:colOff>
          <xdr:row>1</xdr:row>
          <xdr:rowOff>114300</xdr:rowOff>
        </xdr:to>
        <xdr:sp macro="" textlink="">
          <xdr:nvSpPr>
            <xdr:cNvPr id="16385" name="sfRptRefresh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1219200</xdr:colOff>
          <xdr:row>1</xdr:row>
          <xdr:rowOff>114300</xdr:rowOff>
        </xdr:to>
        <xdr:sp macro="" textlink="">
          <xdr:nvSpPr>
            <xdr:cNvPr id="17409" name="sfRptRefresh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152400</xdr:colOff>
          <xdr:row>1</xdr:row>
          <xdr:rowOff>114300</xdr:rowOff>
        </xdr:to>
        <xdr:sp macro="" textlink="">
          <xdr:nvSpPr>
            <xdr:cNvPr id="18433" name="sfRptRefresh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152400</xdr:colOff>
          <xdr:row>1</xdr:row>
          <xdr:rowOff>114300</xdr:rowOff>
        </xdr:to>
        <xdr:sp macro="" textlink="">
          <xdr:nvSpPr>
            <xdr:cNvPr id="19457" name="sfRptRefresh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457200</xdr:colOff>
          <xdr:row>1</xdr:row>
          <xdr:rowOff>114300</xdr:rowOff>
        </xdr:to>
        <xdr:sp macro="" textlink="">
          <xdr:nvSpPr>
            <xdr:cNvPr id="20481" name="sfRptRefresh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152400</xdr:colOff>
          <xdr:row>1</xdr:row>
          <xdr:rowOff>114300</xdr:rowOff>
        </xdr:to>
        <xdr:sp macro="" textlink="">
          <xdr:nvSpPr>
            <xdr:cNvPr id="21505" name="sfRptRefresh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92.838733680554" createdVersion="6" refreshedVersion="8" minRefreshableVersion="3" recordCount="4" xr:uid="{00000000-000A-0000-FFFF-FFFF03000000}">
  <cacheSource type="worksheet">
    <worksheetSource name="tblPagos"/>
  </cacheSource>
  <cacheFields count="11">
    <cacheField name="Id" numFmtId="3">
      <sharedItems containsSemiMixedTypes="0" containsString="0" containsNumber="1" containsInteger="1" minValue="1" maxValue="4"/>
    </cacheField>
    <cacheField name="Cliente Id" numFmtId="3">
      <sharedItems containsSemiMixedTypes="0" containsString="0" containsNumber="1" containsInteger="1" minValue="1" maxValue="3"/>
    </cacheField>
    <cacheField name="Cliente Id (lookup)" numFmtId="0">
      <sharedItems count="3">
        <s v="María López"/>
        <s v="Juan Pérez"/>
        <s v="Ana Rodríguez"/>
      </sharedItems>
    </cacheField>
    <cacheField name="Concepto" numFmtId="0">
      <sharedItems/>
    </cacheField>
    <cacheField name="Created At" numFmtId="165">
      <sharedItems containsSemiMixedTypes="0" containsNonDate="0" containsDate="1" containsString="0" minDate="2026-06-17T03:31:50" maxDate="2026-06-17T03:31:50"/>
    </cacheField>
    <cacheField name="Fecha Pago" numFmtId="164">
      <sharedItems containsSemiMixedTypes="0" containsNonDate="0" containsDate="1" containsString="0" minDate="2026-01-10T00:00:00" maxDate="2026-02-16T00:00:00"/>
    </cacheField>
    <cacheField name="Inscripcion Id" numFmtId="3">
      <sharedItems containsSemiMixedTypes="0" containsString="0" containsNumber="1" containsInteger="1" minValue="1" maxValue="4"/>
    </cacheField>
    <cacheField name="Inscripcion Id (lookup)" numFmtId="3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Metodo" numFmtId="0">
      <sharedItems/>
    </cacheField>
    <cacheField name="Monto" numFmtId="4">
      <sharedItems containsSemiMixedTypes="0" containsString="0" containsNumber="1" containsInteger="1" minValue="1500" maxValue="2800"/>
    </cacheField>
    <cacheField name="Updated At" numFmtId="165">
      <sharedItems containsSemiMixedTypes="0" containsNonDate="0" containsDate="1" containsString="0" minDate="2026-06-17T18:21:29" maxDate="2026-06-17T18:21: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92.838733796299" createdVersion="6" refreshedVersion="8" minRefreshableVersion="3" recordCount="4" xr:uid="{00000000-000A-0000-FFFF-FFFF02000000}">
  <cacheSource type="worksheet">
    <worksheetSource name="tblClases"/>
  </cacheSource>
  <cacheFields count="10">
    <cacheField name="Id" numFmtId="3">
      <sharedItems containsSemiMixedTypes="0" containsString="0" containsNumber="1" containsInteger="1" minValue="1" maxValue="4"/>
    </cacheField>
    <cacheField name="Activa" numFmtId="3">
      <sharedItems containsSemiMixedTypes="0" containsString="0" containsNumber="1" containsInteger="1" minValue="1" maxValue="1"/>
    </cacheField>
    <cacheField name="Capacidad" numFmtId="3">
      <sharedItems containsSemiMixedTypes="0" containsString="0" containsNumber="1" containsInteger="1" minValue="12" maxValue="20"/>
    </cacheField>
    <cacheField name="Created At" numFmtId="165">
      <sharedItems containsSemiMixedTypes="0" containsNonDate="0" containsDate="1" containsString="0" minDate="2026-06-17T03:31:50" maxDate="2026-06-17T03:31:50"/>
    </cacheField>
    <cacheField name="Descripcion" numFmtId="0">
      <sharedItems containsNonDate="0" containsString="0" containsBlank="1"/>
    </cacheField>
    <cacheField name="Horario" numFmtId="0">
      <sharedItems/>
    </cacheField>
    <cacheField name="Nombre" numFmtId="0">
      <sharedItems/>
    </cacheField>
    <cacheField name="Profesor Id" numFmtId="3">
      <sharedItems containsSemiMixedTypes="0" containsString="0" containsNumber="1" containsInteger="1" minValue="1" maxValue="4"/>
    </cacheField>
    <cacheField name="Profesor Id (lookup)" numFmtId="0">
      <sharedItems count="4">
        <s v="Roberto Silva"/>
        <s v="Patricia Vega"/>
        <s v="Luis Morales"/>
        <s v="Sofía Castillo"/>
      </sharedItems>
    </cacheField>
    <cacheField name="Updated At" numFmtId="165">
      <sharedItems containsSemiMixedTypes="0" containsNonDate="0" containsDate="1" containsString="0" minDate="2026-06-17T18:21:29" maxDate="2026-06-17T18:21: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ngel Salazar" refreshedDate="46192.838733796299" createdVersion="6" refreshedVersion="8" minRefreshableVersion="3" recordCount="4" xr:uid="{00000000-000A-0000-FFFF-FFFF01000000}">
  <cacheSource type="worksheet">
    <worksheetSource name="tblAsistencias"/>
  </cacheSource>
  <cacheFields count="10">
    <cacheField name="Id" numFmtId="3">
      <sharedItems containsSemiMixedTypes="0" containsString="0" containsNumber="1" containsInteger="1" minValue="1" maxValue="4"/>
    </cacheField>
    <cacheField name="Asistio" numFmtId="3">
      <sharedItems containsSemiMixedTypes="0" containsString="0" containsNumber="1" containsInteger="1" minValue="0" maxValue="1"/>
    </cacheField>
    <cacheField name="Clase Id" numFmtId="3">
      <sharedItems containsSemiMixedTypes="0" containsString="0" containsNumber="1" containsInteger="1" minValue="1" maxValue="3"/>
    </cacheField>
    <cacheField name="Clase Id (lookup)" numFmtId="0">
      <sharedItems count="3">
        <s v="Spinning Matutino"/>
        <s v="Ballet Intermedio"/>
        <s v="Yoga Vinyasa"/>
      </sharedItems>
    </cacheField>
    <cacheField name="Cliente Id" numFmtId="3">
      <sharedItems containsSemiMixedTypes="0" containsString="0" containsNumber="1" containsInteger="1" minValue="1" maxValue="3"/>
    </cacheField>
    <cacheField name="Cliente Id (lookup)" numFmtId="0">
      <sharedItems count="3">
        <s v="María López"/>
        <s v="Juan Pérez"/>
        <s v="Ana Rodríguez"/>
      </sharedItems>
    </cacheField>
    <cacheField name="Created At" numFmtId="165">
      <sharedItems containsSemiMixedTypes="0" containsNonDate="0" containsDate="1" containsString="0" minDate="2026-06-17T03:31:50" maxDate="2026-06-17T03:31:50"/>
    </cacheField>
    <cacheField name="Fecha" numFmtId="164">
      <sharedItems containsSemiMixedTypes="0" containsNonDate="0" containsDate="1" containsString="0" minDate="2026-01-15T00:00:00" maxDate="2026-01-23T00:00:00"/>
    </cacheField>
    <cacheField name="Notas" numFmtId="0">
      <sharedItems containsNonDate="0" containsString="0" containsBlank="1"/>
    </cacheField>
    <cacheField name="Updated At" numFmtId="165">
      <sharedItems containsSemiMixedTypes="0" containsNonDate="0" containsDate="1" containsString="0" minDate="2026-06-17T18:21:29" maxDate="2026-06-17T18:21: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tAsistencias" cacheId="16" applyNumberFormats="0" applyBorderFormats="0" applyFontFormats="0" applyPatternFormats="0" applyAlignmentFormats="0" applyWidthHeightFormats="1" dataCaption="Values" updatedVersion="8" minRefreshableVersion="3" useAutoFormatting="1">
  <location ref="B7:F12" firstHeaderRow="1" firstDataRow="2" firstDataCol="1"/>
  <pivotFields count="10">
    <pivotField numFmtId="3" showAll="0" includeNewItemsInFilter="1"/>
    <pivotField dataField="1" showAll="0" defaultSubtotal="0"/>
    <pivotField numFmtId="3" showAll="0" includeNewItemsInFilter="1"/>
    <pivotField axis="axisRow" showAll="0" defaultSubtotal="0">
      <items count="3">
        <item x="0"/>
        <item x="1"/>
        <item x="2"/>
      </items>
    </pivotField>
    <pivotField numFmtId="3" showAll="0" includeNewItemsInFilter="1"/>
    <pivotField axis="axisCol" showAll="0" defaultSubtotal="0">
      <items count="3">
        <item x="0"/>
        <item x="1"/>
        <item x="2"/>
      </items>
    </pivotField>
    <pivotField numFmtId="165" showAll="0" includeNewItemsInFilter="1"/>
    <pivotField numFmtId="164" showAll="0" includeNewItemsInFilter="1"/>
    <pivotField showAll="0" includeNewItemsInFilter="1"/>
    <pivotField numFmtId="165" showAll="0" includeNewItemsInFilter="1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dataFields count="1">
    <dataField name="Suma de Asistio" fld="1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1000000}" name="ptClases" cacheId="11" applyNumberFormats="0" applyBorderFormats="0" applyFontFormats="0" applyPatternFormats="0" applyAlignmentFormats="0" applyWidthHeightFormats="1" dataCaption="Values" updatedVersion="8" minRefreshableVersion="3" useAutoFormatting="1">
  <location ref="B7:C12" firstHeaderRow="1" firstDataRow="1" firstDataCol="1"/>
  <pivotFields count="10">
    <pivotField numFmtId="3" showAll="0" includeNewItemsInFilter="1"/>
    <pivotField dataField="1" showAll="0" defaultSubtotal="0"/>
    <pivotField numFmtId="3" showAll="0" includeNewItemsInFilter="1"/>
    <pivotField numFmtId="165" showAll="0" includeNewItemsInFilter="1"/>
    <pivotField showAll="0" includeNewItemsInFilter="1"/>
    <pivotField showAll="0" includeNewItemsInFilter="1"/>
    <pivotField showAll="0" includeNewItemsInFilter="1"/>
    <pivotField numFmtId="3" showAll="0" includeNewItemsInFilter="1"/>
    <pivotField axis="axisRow" showAll="0" defaultSubtotal="0">
      <items count="4">
        <item x="0"/>
        <item x="1"/>
        <item x="2"/>
        <item x="3"/>
      </items>
    </pivotField>
    <pivotField numFmtId="165" showAll="0" includeNewItemsInFilter="1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Activa" fld="1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2000000}" name="ptPagos" cacheId="7" applyNumberFormats="0" applyBorderFormats="0" applyFontFormats="0" applyPatternFormats="0" applyAlignmentFormats="0" applyWidthHeightFormats="1" dataCaption="Values" updatedVersion="8" minRefreshableVersion="3" useAutoFormatting="1">
  <location ref="B7:G12" firstHeaderRow="1" firstDataRow="2" firstDataCol="1"/>
  <pivotFields count="11">
    <pivotField numFmtId="3" showAll="0" includeNewItemsInFilter="1"/>
    <pivotField numFmtId="3" showAll="0" includeNewItemsInFilter="1"/>
    <pivotField axis="axisRow" showAll="0" defaultSubtotal="0">
      <items count="3">
        <item x="0"/>
        <item x="1"/>
        <item x="2"/>
      </items>
    </pivotField>
    <pivotField showAll="0" includeNewItemsInFilter="1"/>
    <pivotField numFmtId="165" showAll="0" includeNewItemsInFilter="1"/>
    <pivotField numFmtId="164" showAll="0" includeNewItemsInFilter="1"/>
    <pivotField numFmtId="3" showAll="0" includeNewItemsInFilter="1"/>
    <pivotField axis="axisCol" showAll="0" defaultSubtotal="0">
      <items count="4">
        <item x="0"/>
        <item x="1"/>
        <item x="2"/>
        <item x="3"/>
      </items>
    </pivotField>
    <pivotField showAll="0" includeNewItemsInFilter="1"/>
    <pivotField dataField="1" showAll="0" defaultSubtotal="0"/>
    <pivotField numFmtId="165" showAll="0" includeNewItemsInFilter="1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Suma de Monto" fld="9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growShrinkType="overwriteClear" preserveFormatting="0" adjustColumnWidth="0" connectionId="7" xr16:uid="{0AAE6576-B009-DD4F-A3BF-5DFAC89124A7}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Fecha" tableColumnId="8"/>
      <queryTableField id="2" name="Clase" tableColumnId="9"/>
      <queryTableField id="3" name="Profesor" tableColumnId="10"/>
      <queryTableField id="4" name="Cliente" tableColumnId="11"/>
      <queryTableField id="5" name="Telefono" tableColumnId="12"/>
      <queryTableField id="6" name="Asistio" tableColumnId="13"/>
      <queryTableField id="7" name="Notas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growShrinkType="overwriteClear" preserveFormatting="0" adjustColumnWidth="0" connectionId="8" xr16:uid="{CBC2E08A-70D2-D64A-8718-D9E4B1A2F269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lase" tableColumnId="7"/>
      <queryTableField id="2" name="Profesor" tableColumnId="8"/>
      <queryTableField id="3" name="Especialidad" tableColumnId="9"/>
      <queryTableField id="4" name="Horario" tableColumnId="10"/>
      <queryTableField id="5" name="Capacidad" tableColumnId="11"/>
      <queryTableField id="6" name="Estado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growShrinkType="overwriteClear" preserveFormatting="0" adjustColumnWidth="0" connectionId="6" xr16:uid="{9F07806E-942E-AA4F-8B93-B5B9CC49F54B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Profesor" tableColumnId="7"/>
      <queryTableField id="2" name="Especialidad" tableColumnId="8"/>
      <queryTableField id="3" name="Clase" tableColumnId="9"/>
      <queryTableField id="4" name="Horario" tableColumnId="10"/>
      <queryTableField id="5" name="Capacidad" tableColumnId="11"/>
      <queryTableField id="6" name="Activa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growShrinkType="overwriteClear" preserveFormatting="0" adjustColumnWidth="0" connectionId="10" xr16:uid="{C1903D72-0B95-EF43-AB8D-7353248FB99A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liente" tableColumnId="7"/>
      <queryTableField id="2" name="Telefono" tableColumnId="8"/>
      <queryTableField id="3" name="Email" tableColumnId="9"/>
      <queryTableField id="4" name="Estado" tableColumnId="10"/>
      <queryTableField id="5" name="NumInscripciones" tableColumnId="11"/>
      <queryTableField id="6" name="FechaAlta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growShrinkType="overwriteClear" preserveFormatting="0" adjustColumnWidth="0" connectionId="11" xr16:uid="{AC89AD00-5BFC-9145-AF48-42DDEFADA7F4}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liente" tableColumnId="8"/>
      <queryTableField id="2" name="Telefono" tableColumnId="9"/>
      <queryTableField id="3" name="Email" tableColumnId="10"/>
      <queryTableField id="4" name="Estado" tableColumnId="11"/>
      <queryTableField id="5" name="NumInscripciones" tableColumnId="12"/>
      <queryTableField id="6" name="NumAsistencias" tableColumnId="13"/>
      <queryTableField id="7" name="UltimaAsistencia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growShrinkType="overwriteClear" preserveFormatting="0" adjustColumnWidth="0" connectionId="12" xr16:uid="{61BAC796-378F-1443-BD97-901B39CA71A2}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Fecha" tableColumnId="8"/>
      <queryTableField id="2" name="Cliente" tableColumnId="9"/>
      <queryTableField id="3" name="Telefono" tableColumnId="10"/>
      <queryTableField id="4" name="Plan" tableColumnId="11"/>
      <queryTableField id="5" name="Monto" tableColumnId="12"/>
      <queryTableField id="6" name="Concepto" tableColumnId="13"/>
      <queryTableField id="7" name="Metodo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growShrinkType="overwriteClear" preserveFormatting="0" adjustColumnWidth="0" connectionId="13" xr16:uid="{6E77F9B8-FCAB-2747-A44A-C37F54372D84}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Fecha" tableColumnId="8"/>
      <queryTableField id="2" name="Mes" tableColumnId="9"/>
      <queryTableField id="3" name="Cliente" tableColumnId="10"/>
      <queryTableField id="4" name="Telefono" tableColumnId="11"/>
      <queryTableField id="5" name="Monto" tableColumnId="12"/>
      <queryTableField id="6" name="Metodo" tableColumnId="13"/>
      <queryTableField id="7" name="Concepto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growShrinkType="overwriteClear" preserveFormatting="0" adjustColumnWidth="0" connectionId="14" xr16:uid="{843CFDCE-B1A0-C246-81F1-06DFE60EC5CC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liente" tableColumnId="9"/>
      <queryTableField id="2" name="Telefono" tableColumnId="10"/>
      <queryTableField id="3" name="Plan" tableColumnId="11"/>
      <queryTableField id="4" name="Precio" tableColumnId="12"/>
      <queryTableField id="5" name="Duracion Dias" tableColumnId="13"/>
      <queryTableField id="6" name="Fecha Inicio" tableColumnId="14"/>
      <queryTableField id="7" name="Fecha Fin" tableColumnId="15"/>
      <queryTableField id="8" name="Estado" tableColumnId="1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growShrinkType="overwriteClear" preserveFormatting="0" adjustColumnWidth="0" connectionId="3" xr16:uid="{32842E4D-EF1E-6940-B4AB-7B47F50A2BAE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liente" tableColumnId="9"/>
      <queryTableField id="2" name="Telefono" tableColumnId="10"/>
      <queryTableField id="3" name="Plan" tableColumnId="11"/>
      <queryTableField id="4" name="Precio" tableColumnId="12"/>
      <queryTableField id="5" name="Pagado" tableColumnId="13"/>
      <queryTableField id="6" name="Saldo" tableColumnId="14"/>
      <queryTableField id="7" name="Estado" tableColumnId="15"/>
      <queryTableField id="8" name="Fecha Fin" tableColumnId="1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growShrinkType="overwriteClear" preserveFormatting="0" adjustColumnWidth="0" connectionId="4" xr16:uid="{A1773735-0A76-8748-BF83-E10E2789D70C}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Cliente" tableColumnId="10"/>
      <queryTableField id="2" name="Telefono" tableColumnId="11"/>
      <queryTableField id="3" name="Email" tableColumnId="12"/>
      <queryTableField id="4" name="Plan" tableColumnId="13"/>
      <queryTableField id="5" name="Fecha Inicio" tableColumnId="14"/>
      <queryTableField id="6" name="Fecha Fin" tableColumnId="15"/>
      <queryTableField id="7" name="Dias" tableColumnId="16"/>
      <queryTableField id="8" name="Alerta" tableColumnId="17"/>
      <queryTableField id="9" name="Estado" tableColumnId="18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growShrinkType="overwriteClear" preserveFormatting="0" adjustColumnWidth="0" connectionId="5" xr16:uid="{34691CC1-4FCD-2D48-AD16-B0A057A9A142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Fecha" tableColumnId="9"/>
      <queryTableField id="2" name="Cliente" tableColumnId="10"/>
      <queryTableField id="3" name="Telefono" tableColumnId="11"/>
      <queryTableField id="4" name="Email" tableColumnId="12"/>
      <queryTableField id="5" name="Plan" tableColumnId="13"/>
      <queryTableField id="6" name="Monto" tableColumnId="14"/>
      <queryTableField id="7" name="Metodo" tableColumnId="15"/>
      <queryTableField id="8" name="Concepto" tableColumnId="16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Asistencias" displayName="tblAsistencias" ref="A1:J5" totalsRowShown="0">
  <autoFilter ref="A1:J5" xr:uid="{00000000-0009-0000-0100-000001000000}"/>
  <tableColumns count="10">
    <tableColumn id="1" xr3:uid="{00000000-0010-0000-0000-000001000000}" name="Id"/>
    <tableColumn id="2" xr3:uid="{00000000-0010-0000-0000-000002000000}" name="Asistio"/>
    <tableColumn id="3" xr3:uid="{00000000-0010-0000-0000-000003000000}" name="Clase Id"/>
    <tableColumn id="4" xr3:uid="{00000000-0010-0000-0000-000004000000}" name="Clase Id (lookup)">
      <calculatedColumnFormula>IFERROR(INDEX(tblClases[Nombre],MATCH(tblAsistencias[[#This Row],[Clase Id]],tblClases[Id],0)),"")</calculatedColumnFormula>
    </tableColumn>
    <tableColumn id="5" xr3:uid="{00000000-0010-0000-0000-000005000000}" name="Cliente Id"/>
    <tableColumn id="6" xr3:uid="{00000000-0010-0000-0000-000006000000}" name="Cliente Id (lookup)">
      <calculatedColumnFormula>IFERROR(INDEX(tblClientes[Nombre],MATCH(tblAsistencias[[#This Row],[Cliente Id]],tblClientes[Id],0)),"")</calculatedColumnFormula>
    </tableColumn>
    <tableColumn id="7" xr3:uid="{00000000-0010-0000-0000-000007000000}" name="Created At"/>
    <tableColumn id="8" xr3:uid="{00000000-0010-0000-0000-000008000000}" name="Fecha"/>
    <tableColumn id="9" xr3:uid="{00000000-0010-0000-0000-000009000000}" name="Notas"/>
    <tableColumn id="10" xr3:uid="{00000000-0010-0000-0000-00000A000000}" name="Updated 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lases" displayName="tblClases" ref="A1:J5" totalsRowShown="0">
  <autoFilter ref="A1:J5" xr:uid="{00000000-0009-0000-0100-000002000000}"/>
  <tableColumns count="10">
    <tableColumn id="1" xr3:uid="{00000000-0010-0000-0100-000001000000}" name="Id"/>
    <tableColumn id="2" xr3:uid="{00000000-0010-0000-0100-000002000000}" name="Activa"/>
    <tableColumn id="3" xr3:uid="{00000000-0010-0000-0100-000003000000}" name="Capacidad"/>
    <tableColumn id="4" xr3:uid="{00000000-0010-0000-0100-000004000000}" name="Created At"/>
    <tableColumn id="5" xr3:uid="{00000000-0010-0000-0100-000005000000}" name="Descripcion"/>
    <tableColumn id="6" xr3:uid="{00000000-0010-0000-0100-000006000000}" name="Horario"/>
    <tableColumn id="7" xr3:uid="{00000000-0010-0000-0100-000007000000}" name="Nombre"/>
    <tableColumn id="8" xr3:uid="{00000000-0010-0000-0100-000008000000}" name="Profesor Id"/>
    <tableColumn id="9" xr3:uid="{00000000-0010-0000-0100-000009000000}" name="Profesor Id (lookup)">
      <calculatedColumnFormula>IFERROR(INDEX(tblProfesores[Nombre],MATCH(tblClases[[#This Row],[Profesor Id]],tblProfesores[Id],0)),"")</calculatedColumnFormula>
    </tableColumn>
    <tableColumn id="10" xr3:uid="{00000000-0010-0000-0100-00000A000000}" name="Updated A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Clientes" displayName="tblClientes" ref="A1:I7" totalsRowShown="0">
  <autoFilter ref="A1:I7" xr:uid="{00000000-0009-0000-0100-000003000000}"/>
  <tableColumns count="9">
    <tableColumn id="1" xr3:uid="{00000000-0010-0000-0200-000001000000}" name="Id"/>
    <tableColumn id="2" xr3:uid="{00000000-0010-0000-0200-000002000000}" name="Created At"/>
    <tableColumn id="3" xr3:uid="{00000000-0010-0000-0200-000003000000}" name="Direccion"/>
    <tableColumn id="4" xr3:uid="{00000000-0010-0000-0200-000004000000}" name="Email"/>
    <tableColumn id="5" xr3:uid="{00000000-0010-0000-0200-000005000000}" name="Estado"/>
    <tableColumn id="6" xr3:uid="{00000000-0010-0000-0200-000006000000}" name="Fecha Nacimiento"/>
    <tableColumn id="7" xr3:uid="{00000000-0010-0000-0200-000007000000}" name="Nombre"/>
    <tableColumn id="8" xr3:uid="{00000000-0010-0000-0200-000008000000}" name="Telefono"/>
    <tableColumn id="9" xr3:uid="{00000000-0010-0000-0200-000009000000}" name="Updated A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Inscripciones" displayName="tblInscripciones" ref="A1:J12" totalsRowShown="0">
  <autoFilter ref="A1:J12" xr:uid="{00000000-0009-0000-0100-000004000000}"/>
  <tableColumns count="10">
    <tableColumn id="1" xr3:uid="{00000000-0010-0000-0300-000001000000}" name="Id"/>
    <tableColumn id="2" xr3:uid="{00000000-0010-0000-0300-000002000000}" name="Cliente Id"/>
    <tableColumn id="3" xr3:uid="{00000000-0010-0000-0300-000003000000}" name="Cliente Id (lookup)">
      <calculatedColumnFormula>IFERROR(INDEX(tblClientes[Nombre],MATCH(tblInscripciones[[#This Row],[Cliente Id]],tblClientes[Id],0)),"")</calculatedColumnFormula>
    </tableColumn>
    <tableColumn id="4" xr3:uid="{00000000-0010-0000-0300-000004000000}" name="Created At"/>
    <tableColumn id="5" xr3:uid="{00000000-0010-0000-0300-000005000000}" name="Estado"/>
    <tableColumn id="6" xr3:uid="{00000000-0010-0000-0300-000006000000}" name="Fecha Fin"/>
    <tableColumn id="7" xr3:uid="{00000000-0010-0000-0300-000007000000}" name="Fecha Inicio"/>
    <tableColumn id="8" xr3:uid="{00000000-0010-0000-0300-000008000000}" name="Plan Id"/>
    <tableColumn id="9" xr3:uid="{00000000-0010-0000-0300-000009000000}" name="Plan Id (lookup)">
      <calculatedColumnFormula>IFERROR(INDEX(tblPlanes[Nombre],MATCH(tblInscripciones[[#This Row],[Plan Id]],tblPlanes[Id],0)),"")</calculatedColumnFormula>
    </tableColumn>
    <tableColumn id="10" xr3:uid="{00000000-0010-0000-0300-00000A000000}" name="Updated A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agos" displayName="tblPagos" ref="A1:K5" totalsRowShown="0">
  <autoFilter ref="A1:K5" xr:uid="{00000000-0009-0000-0100-000005000000}"/>
  <tableColumns count="11">
    <tableColumn id="1" xr3:uid="{00000000-0010-0000-0400-000001000000}" name="Id"/>
    <tableColumn id="2" xr3:uid="{00000000-0010-0000-0400-000002000000}" name="Cliente Id"/>
    <tableColumn id="3" xr3:uid="{00000000-0010-0000-0400-000003000000}" name="Cliente Id (lookup)">
      <calculatedColumnFormula>IFERROR(INDEX(tblClientes[Nombre],MATCH(tblPagos[[#This Row],[Cliente Id]],tblClientes[Id],0)),"")</calculatedColumnFormula>
    </tableColumn>
    <tableColumn id="4" xr3:uid="{00000000-0010-0000-0400-000004000000}" name="Concepto"/>
    <tableColumn id="5" xr3:uid="{00000000-0010-0000-0400-000005000000}" name="Created At"/>
    <tableColumn id="6" xr3:uid="{00000000-0010-0000-0400-000006000000}" name="Fecha Pago"/>
    <tableColumn id="7" xr3:uid="{00000000-0010-0000-0400-000007000000}" name="Inscripcion Id"/>
    <tableColumn id="8" xr3:uid="{00000000-0010-0000-0400-000008000000}" name="Inscripcion Id (lookup)">
      <calculatedColumnFormula>IFERROR(INDEX(tblInscripciones[Id],MATCH(tblPagos[[#This Row],[Inscripcion Id]],tblInscripciones[Id],0)),"")</calculatedColumnFormula>
    </tableColumn>
    <tableColumn id="9" xr3:uid="{00000000-0010-0000-0400-000009000000}" name="Metodo"/>
    <tableColumn id="10" xr3:uid="{00000000-0010-0000-0400-00000A000000}" name="Monto"/>
    <tableColumn id="11" xr3:uid="{00000000-0010-0000-0400-00000B000000}" name="Updated A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Planes" displayName="tblPlanes" ref="A1:I5" totalsRowShown="0">
  <autoFilter ref="A1:I5" xr:uid="{00000000-0009-0000-0100-000006000000}"/>
  <tableColumns count="9">
    <tableColumn id="1" xr3:uid="{00000000-0010-0000-0500-000001000000}" name="Id"/>
    <tableColumn id="2" xr3:uid="{00000000-0010-0000-0500-000002000000}" name="Activo"/>
    <tableColumn id="3" xr3:uid="{00000000-0010-0000-0500-000003000000}" name="Created At"/>
    <tableColumn id="4" xr3:uid="{00000000-0010-0000-0500-000004000000}" name="Descripcion"/>
    <tableColumn id="5" xr3:uid="{00000000-0010-0000-0500-000005000000}" name="Duracion Dias"/>
    <tableColumn id="6" xr3:uid="{00000000-0010-0000-0500-000006000000}" name="Nombre"/>
    <tableColumn id="7" xr3:uid="{00000000-0010-0000-0500-000007000000}" name="Precio"/>
    <tableColumn id="8" xr3:uid="{00000000-0010-0000-0500-000008000000}" name="Tipo"/>
    <tableColumn id="9" xr3:uid="{00000000-0010-0000-0500-000009000000}" name="Updated A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Profesores" displayName="tblProfesores" ref="A1:H5" totalsRowShown="0">
  <autoFilter ref="A1:H5" xr:uid="{00000000-0009-0000-0100-000007000000}"/>
  <tableColumns count="8">
    <tableColumn id="1" xr3:uid="{00000000-0010-0000-0600-000001000000}" name="Id"/>
    <tableColumn id="2" xr3:uid="{00000000-0010-0000-0600-000002000000}" name="Activo"/>
    <tableColumn id="3" xr3:uid="{00000000-0010-0000-0600-000003000000}" name="Created At"/>
    <tableColumn id="4" xr3:uid="{00000000-0010-0000-0600-000004000000}" name="Email"/>
    <tableColumn id="5" xr3:uid="{00000000-0010-0000-0600-000005000000}" name="Especialidad"/>
    <tableColumn id="6" xr3:uid="{00000000-0010-0000-0600-000006000000}" name="Nombre"/>
    <tableColumn id="7" xr3:uid="{00000000-0010-0000-0600-000007000000}" name="Telefono"/>
    <tableColumn id="8" xr3:uid="{00000000-0010-0000-0600-000008000000}" name="Updated A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74E50D-615D-A941-935E-5ED5B687D833}" name="Tabla_DatosExternos_1" displayName="Tabla_DatosExternos_1" ref="A4:G8" tableType="queryTable" totalsRowShown="0">
  <autoFilter ref="A4:G8" xr:uid="{8774E50D-615D-A941-935E-5ED5B687D833}"/>
  <tableColumns count="7">
    <tableColumn id="8" xr3:uid="{E250EF73-BDEF-BF45-83F7-8C9A94E1A55A}" uniqueName="8" name="Fecha" queryTableFieldId="1" dataDxfId="25"/>
    <tableColumn id="9" xr3:uid="{D67A53FE-AD21-D942-8CE1-75F512B3C21F}" uniqueName="9" name="Clase" queryTableFieldId="2"/>
    <tableColumn id="10" xr3:uid="{ABEFF054-7024-4446-90CB-4BE89D5F04F9}" uniqueName="10" name="Profesor" queryTableFieldId="3"/>
    <tableColumn id="11" xr3:uid="{781264BC-7CA6-E44D-A4BC-EDC0A815FB74}" uniqueName="11" name="Cliente" queryTableFieldId="4"/>
    <tableColumn id="12" xr3:uid="{33B81ED8-65FB-6841-B6E1-6538B56EC45B}" uniqueName="12" name="Telefono" queryTableFieldId="5"/>
    <tableColumn id="13" xr3:uid="{23C0A321-FBC7-024F-AB7E-77951FA06FDA}" uniqueName="13" name="Asistio" queryTableFieldId="6" dataDxfId="26"/>
    <tableColumn id="14" xr3:uid="{55F2D21B-E785-204C-B493-4AD231E4252A}" uniqueName="14" name="Notas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168BBB-94E5-0543-94B4-6D329AA10449}" name="Tabla_DatosExternos_112" displayName="Tabla_DatosExternos_112" ref="A4:F8" tableType="queryTable" totalsRowShown="0">
  <autoFilter ref="A4:F8" xr:uid="{5D168BBB-94E5-0543-94B4-6D329AA10449}"/>
  <tableColumns count="6">
    <tableColumn id="7" xr3:uid="{27E9A93C-FB4D-B14E-86D7-805E68640B40}" uniqueName="7" name="Clase" queryTableFieldId="1"/>
    <tableColumn id="8" xr3:uid="{D1A2210B-CCEB-EA40-B4D8-82B18224F1C3}" uniqueName="8" name="Profesor" queryTableFieldId="2"/>
    <tableColumn id="9" xr3:uid="{6BE8D746-B6D7-8D44-AC58-DC0C51E49815}" uniqueName="9" name="Especialidad" queryTableFieldId="3"/>
    <tableColumn id="10" xr3:uid="{BA120059-0B8B-364B-9BC5-766D8C519F0A}" uniqueName="10" name="Horario" queryTableFieldId="4"/>
    <tableColumn id="11" xr3:uid="{2EB812E8-2A05-8E4F-882E-F6696B986A41}" uniqueName="11" name="Capacidad" queryTableFieldId="5" dataDxfId="24"/>
    <tableColumn id="12" xr3:uid="{4437EAEC-F396-B44A-8D5E-D7D9524E3B5D}" uniqueName="12" name="Estado" queryTableFieldId="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B42120F-DED4-D848-947A-689CF5F67A89}" name="Tabla_DatosExternos_122" displayName="Tabla_DatosExternos_122" ref="A4:F8" tableType="queryTable" totalsRowShown="0">
  <autoFilter ref="A4:F8" xr:uid="{EB42120F-DED4-D848-947A-689CF5F67A89}"/>
  <tableColumns count="6">
    <tableColumn id="7" xr3:uid="{562A3378-989A-8B4B-84FC-0794731B2F4D}" uniqueName="7" name="Profesor" queryTableFieldId="1"/>
    <tableColumn id="8" xr3:uid="{0ADBE0DE-A056-6843-A6A2-EF4FF47E1219}" uniqueName="8" name="Especialidad" queryTableFieldId="2"/>
    <tableColumn id="9" xr3:uid="{1367F8DA-ACFD-794F-BF11-E2A8057513C2}" uniqueName="9" name="Clase" queryTableFieldId="3"/>
    <tableColumn id="10" xr3:uid="{E7DD35AF-978F-2747-B5A8-AC013D37830F}" uniqueName="10" name="Horario" queryTableFieldId="4"/>
    <tableColumn id="11" xr3:uid="{F562229B-E589-E549-A9B4-F805E0B61643}" uniqueName="11" name="Capacidad" queryTableFieldId="5" dataDxfId="0"/>
    <tableColumn id="12" xr3:uid="{0AACC300-7B83-1F40-A66A-9FDD75810370}" uniqueName="12" name="Activa" queryTableFieldId="6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E7C9628-E3B8-DB4C-A1B2-23C765741DF7}" name="Tabla_DatosExternos_114" displayName="Tabla_DatosExternos_114" ref="A4:F10" tableType="queryTable" totalsRowShown="0">
  <autoFilter ref="A4:F10" xr:uid="{3E7C9628-E3B8-DB4C-A1B2-23C765741DF7}"/>
  <tableColumns count="6">
    <tableColumn id="7" xr3:uid="{C2A1A1D4-27FA-0E49-8BA4-7180BFCE09EE}" uniqueName="7" name="Cliente" queryTableFieldId="1"/>
    <tableColumn id="8" xr3:uid="{3E8D7635-53ED-904A-A4B8-4D8F98A9FD03}" uniqueName="8" name="Telefono" queryTableFieldId="2"/>
    <tableColumn id="9" xr3:uid="{E7071903-1FE3-6649-A446-9AA217A42197}" uniqueName="9" name="Email" queryTableFieldId="3"/>
    <tableColumn id="10" xr3:uid="{D287EC6F-9343-B644-967B-F7E91975F3DC}" uniqueName="10" name="Estado" queryTableFieldId="4"/>
    <tableColumn id="11" xr3:uid="{6E6BF92C-0A6C-CE41-A6E6-7F8DF35E5B5F}" uniqueName="11" name="NumInscripciones" queryTableFieldId="5" dataDxfId="23"/>
    <tableColumn id="12" xr3:uid="{A0000EF8-3AB9-524F-8DD5-8A23DA717E7C}" uniqueName="12" name="FechaAlta" queryTableFieldId="6" dataDxfId="2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11DBE7C-4CFB-8349-A7DB-DA06FEC27AEE}" name="Tabla_DatosExternos_115" displayName="Tabla_DatosExternos_115" ref="A4:G10" tableType="queryTable" totalsRowShown="0">
  <autoFilter ref="A4:G10" xr:uid="{211DBE7C-4CFB-8349-A7DB-DA06FEC27AEE}"/>
  <tableColumns count="7">
    <tableColumn id="8" xr3:uid="{A495B01C-C2BF-5245-A633-B4F32D41F59A}" uniqueName="8" name="Cliente" queryTableFieldId="1"/>
    <tableColumn id="9" xr3:uid="{CF1A9857-3CAC-0D4B-BF38-AAF9CA198D57}" uniqueName="9" name="Telefono" queryTableFieldId="2"/>
    <tableColumn id="10" xr3:uid="{3FE897AF-E4DC-0C46-A9FA-705FE0E88113}" uniqueName="10" name="Email" queryTableFieldId="3"/>
    <tableColumn id="11" xr3:uid="{DF518106-B1AC-DA41-BF57-5377505D3EBE}" uniqueName="11" name="Estado" queryTableFieldId="4"/>
    <tableColumn id="12" xr3:uid="{5F26EF70-ADCF-A244-843D-763B260F1333}" uniqueName="12" name="NumInscripciones" queryTableFieldId="5" dataDxfId="21"/>
    <tableColumn id="13" xr3:uid="{FABE87AC-61FF-C44A-B14F-525A0D5BFC03}" uniqueName="13" name="NumAsistencias" queryTableFieldId="6" dataDxfId="20"/>
    <tableColumn id="14" xr3:uid="{80AD1E65-0503-FE4A-81C1-C0B9C7DB7301}" uniqueName="14" name="UltimaAsistencia" queryTableFieldId="7" dataDxfId="19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39A53D9-C12C-774E-8773-287AC56FB724}" name="Tabla_DatosExternos_116" displayName="Tabla_DatosExternos_116" ref="A4:G8" tableType="queryTable" totalsRowShown="0">
  <autoFilter ref="A4:G8" xr:uid="{639A53D9-C12C-774E-8773-287AC56FB724}"/>
  <tableColumns count="7">
    <tableColumn id="8" xr3:uid="{1BAD4FA9-E816-CE46-BEF9-31DC5E9514A4}" uniqueName="8" name="Fecha" queryTableFieldId="1" dataDxfId="18"/>
    <tableColumn id="9" xr3:uid="{A31EFBA2-594D-594C-9523-B237F3169849}" uniqueName="9" name="Cliente" queryTableFieldId="2"/>
    <tableColumn id="10" xr3:uid="{56A49D0E-0AD7-CE47-9B33-EAEABC62DEF2}" uniqueName="10" name="Telefono" queryTableFieldId="3"/>
    <tableColumn id="11" xr3:uid="{AACD52D3-4DE6-174A-AEF5-1087B3A8218B}" uniqueName="11" name="Plan" queryTableFieldId="4"/>
    <tableColumn id="12" xr3:uid="{5C670E33-E69A-314D-8F5C-5B8FED234AFC}" uniqueName="12" name="Monto" queryTableFieldId="5" dataDxfId="17"/>
    <tableColumn id="13" xr3:uid="{50483B63-70B0-BD4F-9303-65FBF1A5A6DE}" uniqueName="13" name="Concepto" queryTableFieldId="6"/>
    <tableColumn id="14" xr3:uid="{4630F46C-C212-7648-95B9-749797415AFB}" uniqueName="14" name="Metodo" queryTableFieldId="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E79B68A-49E8-1C4C-9DC4-8A026620BCF0}" name="Tabla_DatosExternos_117" displayName="Tabla_DatosExternos_117" ref="A4:G8" tableType="queryTable" totalsRowShown="0">
  <autoFilter ref="A4:G8" xr:uid="{0E79B68A-49E8-1C4C-9DC4-8A026620BCF0}"/>
  <tableColumns count="7">
    <tableColumn id="8" xr3:uid="{1C3E28B2-1BF9-414D-8E88-6A039118FE37}" uniqueName="8" name="Fecha" queryTableFieldId="1" dataDxfId="16"/>
    <tableColumn id="9" xr3:uid="{92016B2A-75F3-A54F-8132-B02EB6FB68AF}" uniqueName="9" name="Mes" queryTableFieldId="2"/>
    <tableColumn id="10" xr3:uid="{E5EDB883-814C-E54F-9C2A-592787AAF8E7}" uniqueName="10" name="Cliente" queryTableFieldId="3"/>
    <tableColumn id="11" xr3:uid="{F2C971D5-83B3-1E4C-8FA1-337D0C7BF31C}" uniqueName="11" name="Telefono" queryTableFieldId="4"/>
    <tableColumn id="12" xr3:uid="{2F6C2A6F-5268-7948-94F5-BE9B97CE2B82}" uniqueName="12" name="Monto" queryTableFieldId="5" dataDxfId="15"/>
    <tableColumn id="13" xr3:uid="{15751F6F-E4E9-3942-8D53-5156AB416FD8}" uniqueName="13" name="Metodo" queryTableFieldId="6"/>
    <tableColumn id="14" xr3:uid="{EF8680BF-EE3B-B54A-8EB4-9BD18564EF08}" uniqueName="14" name="Concepto" queryTableFieldId="7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AFA2574-40F0-E649-AF78-E77FA1BA5404}" name="Tabla_DatosExternos_118" displayName="Tabla_DatosExternos_118" ref="A4:H15" tableType="queryTable" totalsRowShown="0">
  <autoFilter ref="A4:H15" xr:uid="{EAFA2574-40F0-E649-AF78-E77FA1BA5404}"/>
  <tableColumns count="8">
    <tableColumn id="9" xr3:uid="{02F8CD8D-148C-3C4E-8BD7-941F60E7401D}" uniqueName="9" name="Cliente" queryTableFieldId="1"/>
    <tableColumn id="10" xr3:uid="{A3966E80-100D-5943-9E75-F2C97C4F1492}" uniqueName="10" name="Telefono" queryTableFieldId="2"/>
    <tableColumn id="11" xr3:uid="{A7C1094F-3180-3547-92B4-4DDFFA7131C5}" uniqueName="11" name="Plan" queryTableFieldId="3"/>
    <tableColumn id="12" xr3:uid="{4F669ED7-32A0-F440-8848-08FB91D5E405}" uniqueName="12" name="Precio" queryTableFieldId="4" dataDxfId="14"/>
    <tableColumn id="13" xr3:uid="{61E08C2B-1EC6-7B4C-8995-792E9B2F2288}" uniqueName="13" name="Duracion Dias" queryTableFieldId="5" dataDxfId="13"/>
    <tableColumn id="14" xr3:uid="{DEE21F31-46C8-0B4F-8B0E-2C8EEFE1276F}" uniqueName="14" name="Fecha Inicio" queryTableFieldId="6" dataDxfId="12"/>
    <tableColumn id="15" xr3:uid="{9B0B3808-A473-DD44-8C5E-D7A3DB278658}" uniqueName="15" name="Fecha Fin" queryTableFieldId="7" dataDxfId="11"/>
    <tableColumn id="16" xr3:uid="{9D3D1C03-71A9-AE49-91EC-3A8D96B0D813}" uniqueName="16" name="Estado" queryTableFieldId="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E494492-52C6-C748-AA4C-209653E70A2E}" name="Tabla_DatosExternos_119" displayName="Tabla_DatosExternos_119" ref="A4:H13" tableType="queryTable" totalsRowShown="0">
  <autoFilter ref="A4:H13" xr:uid="{DE494492-52C6-C748-AA4C-209653E70A2E}"/>
  <tableColumns count="8">
    <tableColumn id="9" xr3:uid="{2E4EE3E5-487E-F744-9926-BB9DAFF55DE4}" uniqueName="9" name="Cliente" queryTableFieldId="1"/>
    <tableColumn id="10" xr3:uid="{A881CFE7-BC8B-C04B-A4D9-30C2448A4735}" uniqueName="10" name="Telefono" queryTableFieldId="2"/>
    <tableColumn id="11" xr3:uid="{7EABE293-78F5-ED4F-8F47-78427579C0C6}" uniqueName="11" name="Plan" queryTableFieldId="3"/>
    <tableColumn id="12" xr3:uid="{B0CC091F-4E61-9F4C-9075-095DBD0B9759}" uniqueName="12" name="Precio" queryTableFieldId="4" dataDxfId="10"/>
    <tableColumn id="13" xr3:uid="{C90C4D3F-FA0B-0645-8750-C1BDB6E9AD93}" uniqueName="13" name="Pagado" queryTableFieldId="5" dataDxfId="9"/>
    <tableColumn id="14" xr3:uid="{970EA052-65CD-B646-A346-FFE853DB580F}" uniqueName="14" name="Saldo" queryTableFieldId="6" dataDxfId="8"/>
    <tableColumn id="15" xr3:uid="{D71CB4EE-9A12-8741-B5B0-D18A502D363F}" uniqueName="15" name="Estado" queryTableFieldId="7"/>
    <tableColumn id="16" xr3:uid="{18DFE6B2-9916-024B-9DC6-0FCF54C845E0}" uniqueName="16" name="Fecha Fin" queryTableFieldId="8" dataDxfId="7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B2C9B4D-CEC6-EC41-B25D-1C35C3648BCF}" name="Tabla_DatosExternos_120" displayName="Tabla_DatosExternos_120" ref="A4:I13" tableType="queryTable" totalsRowShown="0">
  <autoFilter ref="A4:I13" xr:uid="{AB2C9B4D-CEC6-EC41-B25D-1C35C3648BCF}"/>
  <tableColumns count="9">
    <tableColumn id="10" xr3:uid="{62A5F887-31AC-1347-86AB-6815F62E8FE1}" uniqueName="10" name="Cliente" queryTableFieldId="1"/>
    <tableColumn id="11" xr3:uid="{11159640-7671-264D-9C3F-E7EFD319A841}" uniqueName="11" name="Telefono" queryTableFieldId="2"/>
    <tableColumn id="12" xr3:uid="{C44EFCB2-AA23-FE49-94EF-F10F7B6E4AC6}" uniqueName="12" name="Email" queryTableFieldId="3"/>
    <tableColumn id="13" xr3:uid="{540225ED-960E-4B4A-B3A3-73D40D2D654F}" uniqueName="13" name="Plan" queryTableFieldId="4"/>
    <tableColumn id="14" xr3:uid="{05914E44-EF0B-0943-A0FB-1AEE7857477E}" uniqueName="14" name="Fecha Inicio" queryTableFieldId="5" dataDxfId="6"/>
    <tableColumn id="15" xr3:uid="{2FE6910B-1C83-3D44-B6B9-F8E2C3137D8D}" uniqueName="15" name="Fecha Fin" queryTableFieldId="6" dataDxfId="5"/>
    <tableColumn id="16" xr3:uid="{65C82898-F913-0749-B67C-DDA62E9AD186}" uniqueName="16" name="Dias" queryTableFieldId="7" dataDxfId="4"/>
    <tableColumn id="17" xr3:uid="{53EEADF4-2027-F441-89E4-5C458D147362}" uniqueName="17" name="Alerta" queryTableFieldId="8"/>
    <tableColumn id="18" xr3:uid="{9EECF105-392F-BA41-A14C-85E5DA6D4AD4}" uniqueName="18" name="Estado" queryTableFieldId="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998E835-8636-DE46-BF69-7B7C515B0FFA}" name="Tabla_DatosExternos_121" displayName="Tabla_DatosExternos_121" ref="A4:H8" tableType="queryTable" totalsRowShown="0">
  <autoFilter ref="A4:H8" xr:uid="{F998E835-8636-DE46-BF69-7B7C515B0FFA}"/>
  <tableColumns count="8">
    <tableColumn id="9" xr3:uid="{C18BC5B3-399E-BC4C-B9C9-4D7A47EABA5F}" uniqueName="9" name="Fecha" queryTableFieldId="1" dataDxfId="3"/>
    <tableColumn id="10" xr3:uid="{1A2659FF-03D6-5646-B061-5D70AF50C021}" uniqueName="10" name="Cliente" queryTableFieldId="2"/>
    <tableColumn id="11" xr3:uid="{EE215818-ABE9-7044-A6D0-7E620DA0B8B5}" uniqueName="11" name="Telefono" queryTableFieldId="3"/>
    <tableColumn id="12" xr3:uid="{2FD1FF17-8CDB-094A-8F39-8494733CF4DC}" uniqueName="12" name="Email" queryTableFieldId="4"/>
    <tableColumn id="13" xr3:uid="{92A3A7DF-F8C7-1443-BC51-F7F30ED6E421}" uniqueName="13" name="Plan" queryTableFieldId="5"/>
    <tableColumn id="14" xr3:uid="{ACCBDDFA-256E-0F4F-8B9D-2ADA017CAB3D}" uniqueName="14" name="Monto" queryTableFieldId="6" dataDxfId="2"/>
    <tableColumn id="15" xr3:uid="{621B740B-331B-454E-9CE0-0D777EFF8AA4}" uniqueName="15" name="Metodo" queryTableFieldId="7"/>
    <tableColumn id="16" xr3:uid="{E7585A5B-677A-DB49-A185-6F9A8E20502C}" uniqueName="16" name="Concepto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7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table" Target="../tables/table5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7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7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table" Target="../tables/table7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Relationship Id="rId4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4F46E5"/>
    <pageSetUpPr fitToPage="1"/>
  </sheetPr>
  <dimension ref="B1:I23"/>
  <sheetViews>
    <sheetView showGridLines="0" tabSelected="1" zoomScale="90" zoomScaleNormal="90" workbookViewId="0"/>
  </sheetViews>
  <sheetFormatPr baseColWidth="10" defaultColWidth="8.83203125" defaultRowHeight="15" x14ac:dyDescent="0.2"/>
  <cols>
    <col min="1" max="1" width="3" customWidth="1"/>
    <col min="2" max="2" width="28" customWidth="1"/>
    <col min="3" max="3" width="16" customWidth="1"/>
    <col min="4" max="4" width="4" customWidth="1"/>
    <col min="5" max="5" width="28" customWidth="1"/>
    <col min="6" max="6" width="16" customWidth="1"/>
    <col min="7" max="7" width="4" customWidth="1"/>
    <col min="8" max="8" width="28" customWidth="1"/>
    <col min="9" max="9" width="16" customWidth="1"/>
  </cols>
  <sheetData>
    <row r="1" spans="2:9" ht="8" customHeight="1" x14ac:dyDescent="0.2"/>
    <row r="2" spans="2:9" ht="26" customHeight="1" x14ac:dyDescent="0.25">
      <c r="B2" s="2" t="s">
        <v>0</v>
      </c>
    </row>
    <row r="3" spans="2:9" x14ac:dyDescent="0.2">
      <c r="B3" s="5" t="s">
        <v>1</v>
      </c>
    </row>
    <row r="5" spans="2:9" x14ac:dyDescent="0.2">
      <c r="B5" s="10" t="s">
        <v>2</v>
      </c>
    </row>
    <row r="6" spans="2:9" ht="24" customHeight="1" x14ac:dyDescent="0.2">
      <c r="B6" s="11" t="s">
        <v>3</v>
      </c>
      <c r="E6" s="11" t="s">
        <v>4</v>
      </c>
      <c r="H6" s="11" t="s">
        <v>5</v>
      </c>
    </row>
    <row r="7" spans="2:9" ht="28" customHeight="1" x14ac:dyDescent="0.2">
      <c r="B7" s="12">
        <f>IFERROR(COUNTA(tblAsistencias[Id]),0)</f>
        <v>4</v>
      </c>
      <c r="C7" s="5" t="s">
        <v>6</v>
      </c>
      <c r="E7" s="12">
        <f>IFERROR(COUNTA(tblClases[Id]),0)</f>
        <v>4</v>
      </c>
      <c r="F7" s="5" t="s">
        <v>6</v>
      </c>
      <c r="H7" s="12">
        <f>IFERROR(COUNTA(tblClientes[Id]),0)</f>
        <v>6</v>
      </c>
      <c r="I7" s="5" t="s">
        <v>6</v>
      </c>
    </row>
    <row r="9" spans="2:9" ht="24" customHeight="1" x14ac:dyDescent="0.2">
      <c r="B9" s="11" t="s">
        <v>7</v>
      </c>
      <c r="E9" s="11" t="s">
        <v>8</v>
      </c>
      <c r="H9" s="11" t="s">
        <v>9</v>
      </c>
    </row>
    <row r="10" spans="2:9" ht="28" customHeight="1" x14ac:dyDescent="0.2">
      <c r="B10" s="12">
        <f>IFERROR(COUNTA(tblInscripciones[Id]),0)</f>
        <v>11</v>
      </c>
      <c r="C10" s="5" t="s">
        <v>6</v>
      </c>
      <c r="E10" s="12">
        <f>IFERROR(COUNTA(tblPagos[Id]),0)</f>
        <v>4</v>
      </c>
      <c r="F10" s="5" t="s">
        <v>6</v>
      </c>
      <c r="H10" s="12">
        <f>IFERROR(COUNTA(tblPlanes[Id]),0)</f>
        <v>4</v>
      </c>
      <c r="I10" s="5" t="s">
        <v>6</v>
      </c>
    </row>
    <row r="12" spans="2:9" ht="24" customHeight="1" x14ac:dyDescent="0.2">
      <c r="B12" s="11" t="s">
        <v>10</v>
      </c>
    </row>
    <row r="13" spans="2:9" ht="28" customHeight="1" x14ac:dyDescent="0.2">
      <c r="B13" s="12">
        <f>IFERROR(COUNTA(tblProfesores[Id]),0)</f>
        <v>4</v>
      </c>
      <c r="C13" s="5" t="s">
        <v>6</v>
      </c>
    </row>
    <row r="15" spans="2:9" x14ac:dyDescent="0.2">
      <c r="B15" s="10" t="s">
        <v>11</v>
      </c>
    </row>
    <row r="16" spans="2:9" ht="24" customHeight="1" x14ac:dyDescent="0.2">
      <c r="B16" s="11" t="s">
        <v>12</v>
      </c>
      <c r="E16" s="11" t="s">
        <v>13</v>
      </c>
      <c r="H16" s="11" t="s">
        <v>14</v>
      </c>
    </row>
    <row r="17" spans="2:8" ht="24" customHeight="1" x14ac:dyDescent="0.2">
      <c r="B17" s="11" t="s">
        <v>15</v>
      </c>
      <c r="E17" s="11" t="s">
        <v>16</v>
      </c>
      <c r="H17" s="11" t="s">
        <v>17</v>
      </c>
    </row>
    <row r="18" spans="2:8" ht="24" customHeight="1" x14ac:dyDescent="0.2">
      <c r="B18" s="11" t="s">
        <v>18</v>
      </c>
      <c r="E18" s="11" t="s">
        <v>19</v>
      </c>
      <c r="H18" s="11" t="s">
        <v>20</v>
      </c>
    </row>
    <row r="19" spans="2:8" ht="24" customHeight="1" x14ac:dyDescent="0.2">
      <c r="B19" s="11" t="s">
        <v>21</v>
      </c>
      <c r="E19" s="11" t="s">
        <v>22</v>
      </c>
      <c r="H19" s="11" t="s">
        <v>23</v>
      </c>
    </row>
    <row r="20" spans="2:8" ht="24" customHeight="1" x14ac:dyDescent="0.2">
      <c r="B20" s="11" t="s">
        <v>24</v>
      </c>
      <c r="E20" s="11" t="s">
        <v>25</v>
      </c>
      <c r="H20" s="11" t="s">
        <v>26</v>
      </c>
    </row>
    <row r="21" spans="2:8" ht="24" customHeight="1" x14ac:dyDescent="0.2">
      <c r="B21" s="11" t="s">
        <v>27</v>
      </c>
    </row>
    <row r="23" spans="2:8" x14ac:dyDescent="0.2">
      <c r="B23" s="5" t="s">
        <v>28</v>
      </c>
    </row>
  </sheetData>
  <hyperlinks>
    <hyperlink ref="B6" location="Asistencias!A1" tooltip="Open the Asistencias table" display="Asistencias" xr:uid="{00000000-0004-0000-0000-000000000000}"/>
    <hyperlink ref="E6" location="Clases!A1" tooltip="Open the Clases table" display="Clases" xr:uid="{00000000-0004-0000-0000-000001000000}"/>
    <hyperlink ref="H6" location="Clientes!A1" tooltip="Open the Clientes table" display="Clientes" xr:uid="{00000000-0004-0000-0000-000002000000}"/>
    <hyperlink ref="B9" location="Inscripciones!A1" tooltip="Open the Inscripciones table" display="Inscripciones" xr:uid="{00000000-0004-0000-0000-000003000000}"/>
    <hyperlink ref="E9" location="Pagos!A1" tooltip="Open the Pagos table" display="Pagos" xr:uid="{00000000-0004-0000-0000-000004000000}"/>
    <hyperlink ref="H9" location="Planes!A1" tooltip="Open the Planes table" display="Planes" xr:uid="{00000000-0004-0000-0000-000005000000}"/>
    <hyperlink ref="B12" location="Profesores!A1" tooltip="Open the Profesores table" display="Profesores" xr:uid="{00000000-0004-0000-0000-000006000000}"/>
    <hyperlink ref="B16" location="Dashboard!A1" display="Dashboard" xr:uid="{00000000-0004-0000-0000-000007000000}"/>
    <hyperlink ref="E16" location="'Asistencias por Clase'!A1" display="rpt_asistencias_por_clase" xr:uid="{00000000-0004-0000-0000-000008000000}"/>
    <hyperlink ref="H16" location="'Clases (Activas Inactivas)'!A1" display="rpt_clases_estado" xr:uid="{00000000-0004-0000-0000-000009000000}"/>
    <hyperlink ref="B17" location="'Clases por Profesor'!A1" display="rpt_clases_por_profesor" xr:uid="{00000000-0004-0000-0000-00000A000000}"/>
    <hyperlink ref="E17" location="'Clientes por Estado'!A1" display="rpt_clientes_por_estado" xr:uid="{00000000-0004-0000-0000-00000B000000}"/>
    <hyperlink ref="H17" location="'Clientes — Retención'!A1" display="rpt_clientes_retencion" xr:uid="{00000000-0004-0000-0000-00000C000000}"/>
    <hyperlink ref="B18" location="'Ingresos por Concepto'!A1" display="rpt_ingresos_por_concepto" xr:uid="{00000000-0004-0000-0000-00000D000000}"/>
    <hyperlink ref="E18" location="'Ingresos por Mes'!A1" display="rpt_ingresos_por_mes" xr:uid="{00000000-0004-0000-0000-00000E000000}"/>
    <hyperlink ref="H18" location="'Inscripciones por Plan'!A1" display="rpt_inscripciones_por_plan" xr:uid="{00000000-0004-0000-0000-00000F000000}"/>
    <hyperlink ref="B19" location="'Membresías con Saldo Pendiente'!A1" display="rpt_membresias_saldo" xr:uid="{00000000-0004-0000-0000-000010000000}"/>
    <hyperlink ref="E19" location="'Membresías Vencidas y Por Vence'!A1" display="rpt_membresias_vencer" xr:uid="{00000000-0004-0000-0000-000011000000}"/>
    <hyperlink ref="H19" location="'Pagos por Método'!A1" display="rpt_pagos_por_metodo" xr:uid="{00000000-0004-0000-0000-000012000000}"/>
    <hyperlink ref="B20" location="Ana_Asistencias!A1" display="Ana_Asistencias" xr:uid="{00000000-0004-0000-0000-000013000000}"/>
    <hyperlink ref="E20" location="Ana_Clases!A1" display="Ana_Clases" xr:uid="{00000000-0004-0000-0000-000014000000}"/>
    <hyperlink ref="H20" location="Ana_Pagos!A1" display="Ana_Pagos" xr:uid="{00000000-0004-0000-0000-000015000000}"/>
    <hyperlink ref="B21" location="Help!A1" display="Help" xr:uid="{00000000-0004-0000-0000-000016000000}"/>
  </hyperlinks>
  <printOptions horizontalCentered="1"/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sfBtnShowCrudPanel">
              <controlPr defaultSize="0" print="0" autoFill="0" autoPict="0" macro="[0]!modEngine.ShowCrudPane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7</xdr:col>
                    <xdr:colOff>1219200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2563EB"/>
    <pageSetUpPr fitToPage="1"/>
  </sheetPr>
  <dimension ref="B1:L20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22" customWidth="1"/>
    <col min="3" max="3" width="2" customWidth="1"/>
    <col min="4" max="4" width="22" customWidth="1"/>
    <col min="5" max="5" width="2" customWidth="1"/>
    <col min="6" max="6" width="22" customWidth="1"/>
    <col min="7" max="7" width="2" customWidth="1"/>
    <col min="8" max="8" width="22" customWidth="1"/>
    <col min="9" max="9" width="2" customWidth="1"/>
    <col min="10" max="10" width="3" customWidth="1"/>
    <col min="11" max="11" width="24" customWidth="1"/>
    <col min="12" max="12" width="14" customWidth="1"/>
    <col min="13" max="13" width="3" customWidth="1"/>
    <col min="14" max="14" width="24" customWidth="1"/>
    <col min="15" max="15" width="14" customWidth="1"/>
  </cols>
  <sheetData>
    <row r="1" spans="2:12" ht="8" customHeight="1" x14ac:dyDescent="0.2"/>
    <row r="2" spans="2:12" ht="30" customHeight="1" x14ac:dyDescent="0.35">
      <c r="B2" s="13" t="s">
        <v>12</v>
      </c>
    </row>
    <row r="3" spans="2:12" x14ac:dyDescent="0.2">
      <c r="B3" s="5" t="s">
        <v>29</v>
      </c>
    </row>
    <row r="5" spans="2:12" x14ac:dyDescent="0.2">
      <c r="B5" s="7" t="s">
        <v>3</v>
      </c>
      <c r="D5" s="7" t="s">
        <v>4</v>
      </c>
      <c r="F5" s="7" t="s">
        <v>5</v>
      </c>
      <c r="H5" s="7" t="s">
        <v>7</v>
      </c>
    </row>
    <row r="6" spans="2:12" ht="34" customHeight="1" x14ac:dyDescent="0.2">
      <c r="B6" s="6">
        <f>IFERROR(COUNTA(tblAsistencias[Id]),0)</f>
        <v>4</v>
      </c>
      <c r="D6" s="6">
        <f>IFERROR(COUNTA(tblClases[Id]),0)</f>
        <v>4</v>
      </c>
      <c r="F6" s="6">
        <f>IFERROR(COUNTA(tblClientes[Id]),0)</f>
        <v>6</v>
      </c>
      <c r="H6" s="6">
        <f>IFERROR(COUNTA(tblInscripciones[Id]),0)</f>
        <v>11</v>
      </c>
    </row>
    <row r="8" spans="2:12" x14ac:dyDescent="0.2">
      <c r="B8" s="7" t="s">
        <v>8</v>
      </c>
      <c r="D8" s="7" t="s">
        <v>9</v>
      </c>
      <c r="F8" s="7" t="s">
        <v>10</v>
      </c>
    </row>
    <row r="9" spans="2:12" ht="34" customHeight="1" x14ac:dyDescent="0.2">
      <c r="B9" s="6">
        <f>IFERROR(COUNTA(tblPagos[Id]),0)</f>
        <v>4</v>
      </c>
      <c r="D9" s="6">
        <f>IFERROR(COUNTA(tblPlanes[Id]),0)</f>
        <v>4</v>
      </c>
      <c r="F9" s="6">
        <f>IFERROR(COUNTA(tblProfesores[Id]),0)</f>
        <v>4</v>
      </c>
    </row>
    <row r="12" spans="2:12" x14ac:dyDescent="0.2">
      <c r="K12" s="10" t="s">
        <v>30</v>
      </c>
      <c r="L12" s="10" t="s">
        <v>31</v>
      </c>
    </row>
    <row r="13" spans="2:12" x14ac:dyDescent="0.2">
      <c r="K13" s="5" t="s">
        <v>3</v>
      </c>
      <c r="L13" s="3">
        <f>IFERROR(COUNTA(tblAsistencias[Id]),0)</f>
        <v>4</v>
      </c>
    </row>
    <row r="14" spans="2:12" x14ac:dyDescent="0.2">
      <c r="K14" s="5" t="s">
        <v>4</v>
      </c>
      <c r="L14" s="3">
        <f>IFERROR(COUNTA(tblClases[Id]),0)</f>
        <v>4</v>
      </c>
    </row>
    <row r="15" spans="2:12" x14ac:dyDescent="0.2">
      <c r="K15" s="5" t="s">
        <v>5</v>
      </c>
      <c r="L15" s="3">
        <f>IFERROR(COUNTA(tblClientes[Id]),0)</f>
        <v>6</v>
      </c>
    </row>
    <row r="16" spans="2:12" x14ac:dyDescent="0.2">
      <c r="K16" s="5" t="s">
        <v>7</v>
      </c>
      <c r="L16" s="3">
        <f>IFERROR(COUNTA(tblInscripciones[Id]),0)</f>
        <v>11</v>
      </c>
    </row>
    <row r="17" spans="2:12" x14ac:dyDescent="0.2">
      <c r="K17" s="5" t="s">
        <v>8</v>
      </c>
      <c r="L17" s="3">
        <f>IFERROR(COUNTA(tblPagos[Id]),0)</f>
        <v>4</v>
      </c>
    </row>
    <row r="18" spans="2:12" x14ac:dyDescent="0.2">
      <c r="K18" s="5" t="s">
        <v>9</v>
      </c>
      <c r="L18" s="3">
        <f>IFERROR(COUNTA(tblPlanes[Id]),0)</f>
        <v>4</v>
      </c>
    </row>
    <row r="19" spans="2:12" x14ac:dyDescent="0.2">
      <c r="K19" s="5" t="s">
        <v>10</v>
      </c>
      <c r="L19" s="3">
        <f>IFERROR(COUNTA(tblProfesores[Id]),0)</f>
        <v>4</v>
      </c>
    </row>
    <row r="20" spans="2:12" x14ac:dyDescent="0.2">
      <c r="B20" s="4" t="s">
        <v>32</v>
      </c>
    </row>
  </sheetData>
  <hyperlinks>
    <hyperlink ref="B20" location="Home!A1" display="← Back to Home" xr:uid="{00000000-0004-0000-0100-000000000000}"/>
  </hyperlinks>
  <printOptions horizontalCentered="1"/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rgb="FF6366F1"/>
    <pageSetUpPr fitToPage="1"/>
  </sheetPr>
  <dimension ref="A1:J6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hidden="1" customWidth="1"/>
    <col min="2" max="3" width="12" customWidth="1"/>
    <col min="4" max="4" width="24" customWidth="1"/>
    <col min="5" max="5" width="14" customWidth="1"/>
    <col min="6" max="6" width="24" customWidth="1"/>
    <col min="7" max="7" width="17" customWidth="1"/>
    <col min="8" max="8" width="12" customWidth="1"/>
    <col min="9" max="9" width="22" customWidth="1"/>
    <col min="10" max="10" width="17" customWidth="1"/>
  </cols>
  <sheetData>
    <row r="1" spans="1:10" ht="20" customHeight="1" x14ac:dyDescent="0.2">
      <c r="A1" s="1" t="s">
        <v>33</v>
      </c>
      <c r="B1" s="1" t="s">
        <v>34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42</v>
      </c>
    </row>
    <row r="2" spans="1:10" x14ac:dyDescent="0.2">
      <c r="A2" s="3">
        <v>1</v>
      </c>
      <c r="B2" s="17">
        <v>1</v>
      </c>
      <c r="C2" s="17">
        <v>1</v>
      </c>
      <c r="D2" t="str">
        <f>IFERROR(INDEX(tblClases[Nombre],MATCH(tblAsistencias[[#This Row],[Clase Id]],tblClases[Id],0)),"")</f>
        <v>Spinning Matutino</v>
      </c>
      <c r="E2" s="17">
        <v>1</v>
      </c>
      <c r="F2" t="str">
        <f>IFERROR(INDEX(tblClientes[Nombre],MATCH(tblAsistencias[[#This Row],[Cliente Id]],tblClientes[Id],0)),"")</f>
        <v>María López</v>
      </c>
      <c r="G2" s="16">
        <v>46190.147106481483</v>
      </c>
      <c r="H2" s="15">
        <v>46037</v>
      </c>
      <c r="I2" s="14"/>
      <c r="J2" s="16">
        <v>46190.764918981484</v>
      </c>
    </row>
    <row r="3" spans="1:10" x14ac:dyDescent="0.2">
      <c r="A3" s="3">
        <v>2</v>
      </c>
      <c r="B3" s="17">
        <v>1</v>
      </c>
      <c r="C3" s="17">
        <v>1</v>
      </c>
      <c r="D3" t="str">
        <f>IFERROR(INDEX(tblClases[Nombre],MATCH(tblAsistencias[[#This Row],[Clase Id]],tblClases[Id],0)),"")</f>
        <v>Spinning Matutino</v>
      </c>
      <c r="E3" s="17">
        <v>1</v>
      </c>
      <c r="F3" t="str">
        <f>IFERROR(INDEX(tblClientes[Nombre],MATCH(tblAsistencias[[#This Row],[Cliente Id]],tblClientes[Id],0)),"")</f>
        <v>María López</v>
      </c>
      <c r="G3" s="16">
        <v>46190.147106481483</v>
      </c>
      <c r="H3" s="15">
        <v>46039</v>
      </c>
      <c r="I3" s="14"/>
      <c r="J3" s="16">
        <v>46190.764918981484</v>
      </c>
    </row>
    <row r="4" spans="1:10" x14ac:dyDescent="0.2">
      <c r="A4" s="3">
        <v>3</v>
      </c>
      <c r="B4" s="17">
        <v>1</v>
      </c>
      <c r="C4" s="17">
        <v>2</v>
      </c>
      <c r="D4" t="str">
        <f>IFERROR(INDEX(tblClases[Nombre],MATCH(tblAsistencias[[#This Row],[Clase Id]],tblClases[Id],0)),"")</f>
        <v>Ballet Intermedio</v>
      </c>
      <c r="E4" s="17">
        <v>2</v>
      </c>
      <c r="F4" t="str">
        <f>IFERROR(INDEX(tblClientes[Nombre],MATCH(tblAsistencias[[#This Row],[Cliente Id]],tblClientes[Id],0)),"")</f>
        <v>Juan Pérez</v>
      </c>
      <c r="G4" s="16">
        <v>46190.147106481483</v>
      </c>
      <c r="H4" s="15">
        <v>46043</v>
      </c>
      <c r="I4" s="14"/>
      <c r="J4" s="16">
        <v>46190.764918981484</v>
      </c>
    </row>
    <row r="5" spans="1:10" x14ac:dyDescent="0.2">
      <c r="A5" s="3">
        <v>4</v>
      </c>
      <c r="B5" s="17">
        <v>0</v>
      </c>
      <c r="C5" s="17">
        <v>3</v>
      </c>
      <c r="D5" t="str">
        <f>IFERROR(INDEX(tblClases[Nombre],MATCH(tblAsistencias[[#This Row],[Clase Id]],tblClases[Id],0)),"")</f>
        <v>Yoga Vinyasa</v>
      </c>
      <c r="E5" s="17">
        <v>3</v>
      </c>
      <c r="F5" t="str">
        <f>IFERROR(INDEX(tblClientes[Nombre],MATCH(tblAsistencias[[#This Row],[Cliente Id]],tblClientes[Id],0)),"")</f>
        <v>Ana Rodríguez</v>
      </c>
      <c r="G5" s="16">
        <v>46190.147106481483</v>
      </c>
      <c r="H5" s="15">
        <v>46044</v>
      </c>
      <c r="I5" s="14"/>
      <c r="J5" s="16">
        <v>46190.764918981484</v>
      </c>
    </row>
    <row r="6" spans="1:10" x14ac:dyDescent="0.2">
      <c r="A6" s="4" t="s">
        <v>43</v>
      </c>
    </row>
  </sheetData>
  <sheetProtection sheet="1" scenarios="1" insertRows="0" deleteRows="0" sort="0" autoFilter="0"/>
  <dataValidations count="2">
    <dataValidation type="list" allowBlank="1" showInputMessage="1" showErrorMessage="1" errorTitle="Unknown reference" error="This value must match an existing Clase." promptTitle="Clase Id" prompt="Pick an existing Clase. The lookup column shows its name." sqref="C2:C505" xr:uid="{00000000-0002-0000-0200-000000000000}">
      <formula1>dv_asistencias_clase_id</formula1>
    </dataValidation>
    <dataValidation type="list" allowBlank="1" showInputMessage="1" showErrorMessage="1" errorTitle="Unknown reference" error="This value must match an existing Cliente." promptTitle="Cliente Id" prompt="Pick an existing Cliente. The lookup column shows its name." sqref="E2:E505" xr:uid="{00000000-0002-0000-0200-000001000000}">
      <formula1>dv_asistencias_cliente_id</formula1>
    </dataValidation>
  </dataValidations>
  <hyperlinks>
    <hyperlink ref="A6" location="Home!A1" display="Back to Home" xr:uid="{00000000-0004-0000-0200-000000000000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sfBtnNew">
              <controlPr defaultSize="0" print="0" autoFill="0" autoPict="0" macro="[0]!modEngine.NewRecord">
                <anchor moveWithCells="1" sizeWithCells="1">
                  <from>
                    <xdr:col>10</xdr:col>
                    <xdr:colOff>152400</xdr:colOff>
                    <xdr:row>0</xdr:row>
                    <xdr:rowOff>50800</xdr:rowOff>
                  </from>
                  <to>
                    <xdr:col>11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sfBtnEdit">
              <controlPr defaultSize="0" print="0" autoFill="0" autoPict="0" macro="[0]!modEngine.EditRecord">
                <anchor moveWithCells="1" sizeWithCells="1">
                  <from>
                    <xdr:col>11</xdr:col>
                    <xdr:colOff>571500</xdr:colOff>
                    <xdr:row>0</xdr:row>
                    <xdr:rowOff>50800</xdr:rowOff>
                  </from>
                  <to>
                    <xdr:col>13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sfBtnDelete">
              <controlPr defaultSize="0" print="0" autoFill="0" autoPict="0" macro="[0]!modEngine.DeleteSelectedRecord">
                <anchor moveWithCells="1" sizeWithCells="1">
                  <from>
                    <xdr:col>13</xdr:col>
                    <xdr:colOff>317500</xdr:colOff>
                    <xdr:row>0</xdr:row>
                    <xdr:rowOff>50800</xdr:rowOff>
                  </from>
                  <to>
                    <xdr:col>14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6366F1"/>
    <pageSetUpPr fitToPage="1"/>
  </sheetPr>
  <dimension ref="A1:J6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hidden="1" customWidth="1"/>
    <col min="2" max="2" width="12" customWidth="1"/>
    <col min="3" max="3" width="13" customWidth="1"/>
    <col min="4" max="4" width="17" customWidth="1"/>
    <col min="5" max="7" width="22" customWidth="1"/>
    <col min="8" max="8" width="15" customWidth="1"/>
    <col min="9" max="9" width="24" customWidth="1"/>
    <col min="10" max="10" width="17" customWidth="1"/>
  </cols>
  <sheetData>
    <row r="1" spans="1:10" ht="20" customHeight="1" x14ac:dyDescent="0.2">
      <c r="A1" s="1" t="s">
        <v>33</v>
      </c>
      <c r="B1" s="1" t="s">
        <v>44</v>
      </c>
      <c r="C1" s="1" t="s">
        <v>45</v>
      </c>
      <c r="D1" s="1" t="s">
        <v>39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  <c r="J1" s="1" t="s">
        <v>42</v>
      </c>
    </row>
    <row r="2" spans="1:10" x14ac:dyDescent="0.2">
      <c r="A2" s="3">
        <v>1</v>
      </c>
      <c r="B2" s="17">
        <v>1</v>
      </c>
      <c r="C2" s="17">
        <v>15</v>
      </c>
      <c r="D2" s="16">
        <v>46190.147106481483</v>
      </c>
      <c r="E2" s="14"/>
      <c r="F2" s="14" t="s">
        <v>51</v>
      </c>
      <c r="G2" s="14" t="s">
        <v>52</v>
      </c>
      <c r="H2" s="17">
        <v>1</v>
      </c>
      <c r="I2" t="str">
        <f>IFERROR(INDEX(tblProfesores[Nombre],MATCH(tblClases[[#This Row],[Profesor Id]],tblProfesores[Id],0)),"")</f>
        <v>Roberto Silva</v>
      </c>
      <c r="J2" s="16">
        <v>46190.764918981484</v>
      </c>
    </row>
    <row r="3" spans="1:10" x14ac:dyDescent="0.2">
      <c r="A3" s="3">
        <v>2</v>
      </c>
      <c r="B3" s="17">
        <v>1</v>
      </c>
      <c r="C3" s="17">
        <v>20</v>
      </c>
      <c r="D3" s="16">
        <v>46190.147106481483</v>
      </c>
      <c r="E3" s="14"/>
      <c r="F3" s="14" t="s">
        <v>53</v>
      </c>
      <c r="G3" s="14" t="s">
        <v>54</v>
      </c>
      <c r="H3" s="17">
        <v>2</v>
      </c>
      <c r="I3" t="str">
        <f>IFERROR(INDEX(tblProfesores[Nombre],MATCH(tblClases[[#This Row],[Profesor Id]],tblProfesores[Id],0)),"")</f>
        <v>Patricia Vega</v>
      </c>
      <c r="J3" s="16">
        <v>46190.764918981484</v>
      </c>
    </row>
    <row r="4" spans="1:10" x14ac:dyDescent="0.2">
      <c r="A4" s="3">
        <v>3</v>
      </c>
      <c r="B4" s="17">
        <v>1</v>
      </c>
      <c r="C4" s="17">
        <v>12</v>
      </c>
      <c r="D4" s="16">
        <v>46190.147106481483</v>
      </c>
      <c r="E4" s="14"/>
      <c r="F4" s="14" t="s">
        <v>55</v>
      </c>
      <c r="G4" s="14" t="s">
        <v>56</v>
      </c>
      <c r="H4" s="17">
        <v>3</v>
      </c>
      <c r="I4" t="str">
        <f>IFERROR(INDEX(tblProfesores[Nombre],MATCH(tblClases[[#This Row],[Profesor Id]],tblProfesores[Id],0)),"")</f>
        <v>Luis Morales</v>
      </c>
      <c r="J4" s="16">
        <v>46190.764918981484</v>
      </c>
    </row>
    <row r="5" spans="1:10" x14ac:dyDescent="0.2">
      <c r="A5" s="3">
        <v>4</v>
      </c>
      <c r="B5" s="17">
        <v>1</v>
      </c>
      <c r="C5" s="17">
        <v>15</v>
      </c>
      <c r="D5" s="16">
        <v>46190.147106481483</v>
      </c>
      <c r="E5" s="14"/>
      <c r="F5" s="14" t="s">
        <v>57</v>
      </c>
      <c r="G5" s="14" t="s">
        <v>58</v>
      </c>
      <c r="H5" s="17">
        <v>4</v>
      </c>
      <c r="I5" t="str">
        <f>IFERROR(INDEX(tblProfesores[Nombre],MATCH(tblClases[[#This Row],[Profesor Id]],tblProfesores[Id],0)),"")</f>
        <v>Sofía Castillo</v>
      </c>
      <c r="J5" s="16">
        <v>46190.764918981484</v>
      </c>
    </row>
    <row r="6" spans="1:10" x14ac:dyDescent="0.2">
      <c r="A6" s="4" t="s">
        <v>43</v>
      </c>
    </row>
  </sheetData>
  <sheetProtection sheet="1" scenarios="1" insertRows="0" deleteRows="0" sort="0" autoFilter="0"/>
  <dataValidations count="1">
    <dataValidation type="list" allowBlank="1" showInputMessage="1" showErrorMessage="1" errorTitle="Unknown reference" error="This value must match an existing Profesor." promptTitle="Profesor Id" prompt="Pick an existing Profesor. The lookup column shows its name." sqref="H2:H505" xr:uid="{00000000-0002-0000-0300-000000000000}">
      <formula1>dv_clases_profesor_id</formula1>
    </dataValidation>
  </dataValidations>
  <hyperlinks>
    <hyperlink ref="A6" location="Home!A1" display="Back to Home" xr:uid="{00000000-0004-0000-0300-000000000000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sfBtnNew">
              <controlPr defaultSize="0" print="0" autoFill="0" autoPict="0" macro="[0]!modEngine.NewRecord">
                <anchor moveWithCells="1" sizeWithCells="1">
                  <from>
                    <xdr:col>10</xdr:col>
                    <xdr:colOff>152400</xdr:colOff>
                    <xdr:row>0</xdr:row>
                    <xdr:rowOff>50800</xdr:rowOff>
                  </from>
                  <to>
                    <xdr:col>11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sfBtnEdit">
              <controlPr defaultSize="0" print="0" autoFill="0" autoPict="0" macro="[0]!modEngine.EditRecord">
                <anchor moveWithCells="1" sizeWithCells="1">
                  <from>
                    <xdr:col>11</xdr:col>
                    <xdr:colOff>571500</xdr:colOff>
                    <xdr:row>0</xdr:row>
                    <xdr:rowOff>50800</xdr:rowOff>
                  </from>
                  <to>
                    <xdr:col>13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sfBtnDelete">
              <controlPr defaultSize="0" print="0" autoFill="0" autoPict="0" macro="[0]!modEngine.DeleteSelectedRecord">
                <anchor moveWithCells="1" sizeWithCells="1">
                  <from>
                    <xdr:col>13</xdr:col>
                    <xdr:colOff>317500</xdr:colOff>
                    <xdr:row>0</xdr:row>
                    <xdr:rowOff>50800</xdr:rowOff>
                  </from>
                  <to>
                    <xdr:col>14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6366F1"/>
    <pageSetUpPr fitToPage="1"/>
  </sheetPr>
  <dimension ref="A1:I8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hidden="1" customWidth="1"/>
    <col min="2" max="2" width="17" customWidth="1"/>
    <col min="3" max="5" width="22" customWidth="1"/>
    <col min="6" max="6" width="20" customWidth="1"/>
    <col min="7" max="8" width="22" customWidth="1"/>
    <col min="9" max="9" width="17" customWidth="1"/>
  </cols>
  <sheetData>
    <row r="1" spans="1:9" ht="20" customHeight="1" x14ac:dyDescent="0.2">
      <c r="A1" s="1" t="s">
        <v>33</v>
      </c>
      <c r="B1" s="1" t="s">
        <v>39</v>
      </c>
      <c r="C1" s="1" t="s">
        <v>59</v>
      </c>
      <c r="D1" s="1" t="s">
        <v>60</v>
      </c>
      <c r="E1" s="1" t="s">
        <v>61</v>
      </c>
      <c r="F1" s="1" t="s">
        <v>62</v>
      </c>
      <c r="G1" s="1" t="s">
        <v>48</v>
      </c>
      <c r="H1" s="1" t="s">
        <v>63</v>
      </c>
      <c r="I1" s="1" t="s">
        <v>42</v>
      </c>
    </row>
    <row r="2" spans="1:9" x14ac:dyDescent="0.2">
      <c r="A2" s="3">
        <v>1</v>
      </c>
      <c r="B2" s="16">
        <v>46190.147106481483</v>
      </c>
      <c r="C2" s="14"/>
      <c r="D2" s="14" t="s">
        <v>64</v>
      </c>
      <c r="E2" s="14" t="s">
        <v>65</v>
      </c>
      <c r="F2" s="15"/>
      <c r="G2" s="14" t="s">
        <v>66</v>
      </c>
      <c r="H2" s="14" t="s">
        <v>67</v>
      </c>
      <c r="I2" s="16">
        <v>46190.147106481483</v>
      </c>
    </row>
    <row r="3" spans="1:9" x14ac:dyDescent="0.2">
      <c r="A3" s="3">
        <v>2</v>
      </c>
      <c r="B3" s="16">
        <v>46190.147106481483</v>
      </c>
      <c r="C3" s="14"/>
      <c r="D3" s="14" t="s">
        <v>68</v>
      </c>
      <c r="E3" s="14" t="s">
        <v>65</v>
      </c>
      <c r="F3" s="15"/>
      <c r="G3" s="14" t="s">
        <v>69</v>
      </c>
      <c r="H3" s="14" t="s">
        <v>70</v>
      </c>
      <c r="I3" s="16">
        <v>46190.147106481483</v>
      </c>
    </row>
    <row r="4" spans="1:9" x14ac:dyDescent="0.2">
      <c r="A4" s="3">
        <v>3</v>
      </c>
      <c r="B4" s="16">
        <v>46190.147106481483</v>
      </c>
      <c r="C4" s="14"/>
      <c r="D4" s="14" t="s">
        <v>71</v>
      </c>
      <c r="E4" s="14" t="s">
        <v>65</v>
      </c>
      <c r="F4" s="15"/>
      <c r="G4" s="14" t="s">
        <v>72</v>
      </c>
      <c r="H4" s="14" t="s">
        <v>73</v>
      </c>
      <c r="I4" s="16">
        <v>46190.147106481483</v>
      </c>
    </row>
    <row r="5" spans="1:9" x14ac:dyDescent="0.2">
      <c r="A5" s="3">
        <v>4</v>
      </c>
      <c r="B5" s="16">
        <v>46190.147106481483</v>
      </c>
      <c r="C5" s="14"/>
      <c r="D5" s="14" t="s">
        <v>74</v>
      </c>
      <c r="E5" s="14" t="s">
        <v>75</v>
      </c>
      <c r="F5" s="15"/>
      <c r="G5" s="14" t="s">
        <v>76</v>
      </c>
      <c r="H5" s="14" t="s">
        <v>77</v>
      </c>
      <c r="I5" s="16">
        <v>46190.147106481483</v>
      </c>
    </row>
    <row r="6" spans="1:9" x14ac:dyDescent="0.2">
      <c r="A6" s="3">
        <v>5</v>
      </c>
      <c r="B6" s="16">
        <v>46190.79241898148</v>
      </c>
      <c r="C6" s="14"/>
      <c r="D6" s="14" t="s">
        <v>78</v>
      </c>
      <c r="E6" s="14" t="s">
        <v>65</v>
      </c>
      <c r="F6" s="15"/>
      <c r="G6" s="14" t="s">
        <v>79</v>
      </c>
      <c r="H6" s="14" t="s">
        <v>80</v>
      </c>
      <c r="I6" s="16">
        <v>46190.79241898148</v>
      </c>
    </row>
    <row r="7" spans="1:9" x14ac:dyDescent="0.2">
      <c r="A7" s="3">
        <v>6</v>
      </c>
      <c r="B7" s="16">
        <v>46190.800405092596</v>
      </c>
      <c r="C7" s="14"/>
      <c r="D7" s="14" t="s">
        <v>81</v>
      </c>
      <c r="E7" s="14" t="s">
        <v>65</v>
      </c>
      <c r="F7" s="15"/>
      <c r="G7" s="14" t="s">
        <v>82</v>
      </c>
      <c r="H7" s="14" t="s">
        <v>83</v>
      </c>
      <c r="I7" s="16">
        <v>46190.800405092596</v>
      </c>
    </row>
    <row r="8" spans="1:9" x14ac:dyDescent="0.2">
      <c r="A8" s="4" t="s">
        <v>43</v>
      </c>
    </row>
  </sheetData>
  <sheetProtection sheet="1" scenarios="1" insertRows="0" deleteRows="0" sort="0" autoFilter="0"/>
  <dataValidations count="1">
    <dataValidation type="list" allowBlank="1" showInputMessage="1" showErrorMessage="1" errorTitle="Invalid value" error="The value must be one of: Activo, Inactivo." promptTitle="Estado" prompt="Pick one of the available values." sqref="E2:E507" xr:uid="{00000000-0002-0000-0400-000000000000}">
      <formula1>"Activo,Inactivo"</formula1>
    </dataValidation>
  </dataValidations>
  <hyperlinks>
    <hyperlink ref="A8" location="Home!A1" display="Back to Home" xr:uid="{00000000-0004-0000-0400-000000000000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sfBtnNew">
              <controlPr defaultSize="0" print="0" autoFill="0" autoPict="0" macro="[0]!modEngine.NewRecord">
                <anchor moveWithCells="1" sizeWithCells="1">
                  <from>
                    <xdr:col>9</xdr:col>
                    <xdr:colOff>152400</xdr:colOff>
                    <xdr:row>0</xdr:row>
                    <xdr:rowOff>50800</xdr:rowOff>
                  </from>
                  <to>
                    <xdr:col>10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sfBtnEdit">
              <controlPr defaultSize="0" print="0" autoFill="0" autoPict="0" macro="[0]!modEngine.EditRecord">
                <anchor moveWithCells="1" sizeWithCells="1">
                  <from>
                    <xdr:col>10</xdr:col>
                    <xdr:colOff>571500</xdr:colOff>
                    <xdr:row>0</xdr:row>
                    <xdr:rowOff>50800</xdr:rowOff>
                  </from>
                  <to>
                    <xdr:col>12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sfBtnDelete">
              <controlPr defaultSize="0" print="0" autoFill="0" autoPict="0" macro="[0]!modEngine.DeleteSelectedRecord">
                <anchor moveWithCells="1" sizeWithCells="1">
                  <from>
                    <xdr:col>12</xdr:col>
                    <xdr:colOff>317500</xdr:colOff>
                    <xdr:row>0</xdr:row>
                    <xdr:rowOff>50800</xdr:rowOff>
                  </from>
                  <to>
                    <xdr:col>13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rgb="FF6366F1"/>
    <pageSetUpPr fitToPage="1"/>
  </sheetPr>
  <dimension ref="A1:J13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hidden="1" customWidth="1"/>
    <col min="2" max="2" width="14" customWidth="1"/>
    <col min="3" max="3" width="24" customWidth="1"/>
    <col min="4" max="4" width="17" customWidth="1"/>
    <col min="5" max="5" width="22" customWidth="1"/>
    <col min="6" max="6" width="13" customWidth="1"/>
    <col min="7" max="7" width="16" customWidth="1"/>
    <col min="8" max="8" width="12" customWidth="1"/>
    <col min="9" max="9" width="24" customWidth="1"/>
    <col min="10" max="10" width="17" customWidth="1"/>
  </cols>
  <sheetData>
    <row r="1" spans="1:10" ht="20" customHeight="1" x14ac:dyDescent="0.2">
      <c r="A1" s="1" t="s">
        <v>33</v>
      </c>
      <c r="B1" s="1" t="s">
        <v>37</v>
      </c>
      <c r="C1" s="1" t="s">
        <v>38</v>
      </c>
      <c r="D1" s="1" t="s">
        <v>39</v>
      </c>
      <c r="E1" s="1" t="s">
        <v>61</v>
      </c>
      <c r="F1" s="1" t="s">
        <v>84</v>
      </c>
      <c r="G1" s="1" t="s">
        <v>85</v>
      </c>
      <c r="H1" s="1" t="s">
        <v>86</v>
      </c>
      <c r="I1" s="1" t="s">
        <v>87</v>
      </c>
      <c r="J1" s="1" t="s">
        <v>42</v>
      </c>
    </row>
    <row r="2" spans="1:10" x14ac:dyDescent="0.2">
      <c r="A2" s="3">
        <v>1</v>
      </c>
      <c r="B2" s="17">
        <v>1</v>
      </c>
      <c r="C2" t="str">
        <f>IFERROR(INDEX(tblClientes[Nombre],MATCH(tblInscripciones[[#This Row],[Cliente Id]],tblClientes[Id],0)),"")</f>
        <v>María López</v>
      </c>
      <c r="D2" s="16">
        <v>46190.147106481483</v>
      </c>
      <c r="E2" s="14" t="s">
        <v>44</v>
      </c>
      <c r="F2" s="15">
        <v>46067</v>
      </c>
      <c r="G2" s="15">
        <v>46037</v>
      </c>
      <c r="H2" s="17">
        <v>1</v>
      </c>
      <c r="I2" t="str">
        <f>IFERROR(INDEX(tblPlanes[Nombre],MATCH(tblInscripciones[[#This Row],[Plan Id]],tblPlanes[Id],0)),"")</f>
        <v>Mensual Gym</v>
      </c>
      <c r="J2" s="16">
        <v>46190.764918981484</v>
      </c>
    </row>
    <row r="3" spans="1:10" x14ac:dyDescent="0.2">
      <c r="A3" s="3">
        <v>2</v>
      </c>
      <c r="B3" s="17">
        <v>2</v>
      </c>
      <c r="C3" t="str">
        <f>IFERROR(INDEX(tblClientes[Nombre],MATCH(tblInscripciones[[#This Row],[Cliente Id]],tblClientes[Id],0)),"")</f>
        <v>Juan Pérez</v>
      </c>
      <c r="D3" s="16">
        <v>46190.147106481483</v>
      </c>
      <c r="E3" s="14" t="s">
        <v>44</v>
      </c>
      <c r="F3" s="15">
        <v>46072</v>
      </c>
      <c r="G3" s="15">
        <v>46042</v>
      </c>
      <c r="H3" s="17">
        <v>2</v>
      </c>
      <c r="I3" t="str">
        <f>IFERROR(INDEX(tblPlanes[Nombre],MATCH(tblInscripciones[[#This Row],[Plan Id]],tblPlanes[Id],0)),"")</f>
        <v>Mensual Danza</v>
      </c>
      <c r="J3" s="16">
        <v>46190.764918981484</v>
      </c>
    </row>
    <row r="4" spans="1:10" x14ac:dyDescent="0.2">
      <c r="A4" s="3">
        <v>3</v>
      </c>
      <c r="B4" s="17">
        <v>3</v>
      </c>
      <c r="C4" t="str">
        <f>IFERROR(INDEX(tblClientes[Nombre],MATCH(tblInscripciones[[#This Row],[Cliente Id]],tblClientes[Id],0)),"")</f>
        <v>Ana Rodríguez</v>
      </c>
      <c r="D4" s="16">
        <v>46190.147106481483</v>
      </c>
      <c r="E4" s="14" t="s">
        <v>88</v>
      </c>
      <c r="F4" s="15">
        <v>46062</v>
      </c>
      <c r="G4" s="15">
        <v>46032</v>
      </c>
      <c r="H4" s="17">
        <v>3</v>
      </c>
      <c r="I4" t="str">
        <f>IFERROR(INDEX(tblPlanes[Nombre],MATCH(tblInscripciones[[#This Row],[Plan Id]],tblPlanes[Id],0)),"")</f>
        <v>Combo Gym+Danza</v>
      </c>
      <c r="J4" s="16">
        <v>46190.764918981484</v>
      </c>
    </row>
    <row r="5" spans="1:10" x14ac:dyDescent="0.2">
      <c r="A5" s="3">
        <v>4</v>
      </c>
      <c r="B5" s="17">
        <v>1</v>
      </c>
      <c r="C5" t="str">
        <f>IFERROR(INDEX(tblClientes[Nombre],MATCH(tblInscripciones[[#This Row],[Cliente Id]],tblClientes[Id],0)),"")</f>
        <v>María López</v>
      </c>
      <c r="D5" s="16">
        <v>46190.147106481483</v>
      </c>
      <c r="E5" s="14" t="s">
        <v>44</v>
      </c>
      <c r="F5" s="15">
        <v>46095</v>
      </c>
      <c r="G5" s="15">
        <v>46068</v>
      </c>
      <c r="H5" s="17">
        <v>3</v>
      </c>
      <c r="I5" t="str">
        <f>IFERROR(INDEX(tblPlanes[Nombre],MATCH(tblInscripciones[[#This Row],[Plan Id]],tblPlanes[Id],0)),"")</f>
        <v>Combo Gym+Danza</v>
      </c>
      <c r="J5" s="16">
        <v>46190.764918981484</v>
      </c>
    </row>
    <row r="6" spans="1:10" x14ac:dyDescent="0.2">
      <c r="A6" s="3">
        <v>101</v>
      </c>
      <c r="B6" s="17">
        <v>1</v>
      </c>
      <c r="C6" t="str">
        <f>IFERROR(INDEX(tblClientes[Nombre],MATCH(tblInscripciones[[#This Row],[Cliente Id]],tblClientes[Id],0)),"")</f>
        <v>María López</v>
      </c>
      <c r="D6" s="16">
        <v>46190.67559027778</v>
      </c>
      <c r="E6" s="14" t="s">
        <v>44</v>
      </c>
      <c r="F6" s="15">
        <v>46185</v>
      </c>
      <c r="G6" s="15">
        <v>46155</v>
      </c>
      <c r="H6" s="17">
        <v>1</v>
      </c>
      <c r="I6" t="str">
        <f>IFERROR(INDEX(tblPlanes[Nombre],MATCH(tblInscripciones[[#This Row],[Plan Id]],tblPlanes[Id],0)),"")</f>
        <v>Mensual Gym</v>
      </c>
      <c r="J6" s="16">
        <v>46190.764918981484</v>
      </c>
    </row>
    <row r="7" spans="1:10" x14ac:dyDescent="0.2">
      <c r="A7" s="3">
        <v>102</v>
      </c>
      <c r="B7" s="17">
        <v>2</v>
      </c>
      <c r="C7" t="str">
        <f>IFERROR(INDEX(tblClientes[Nombre],MATCH(tblInscripciones[[#This Row],[Cliente Id]],tblClientes[Id],0)),"")</f>
        <v>Juan Pérez</v>
      </c>
      <c r="D7" s="16">
        <v>46190.67559027778</v>
      </c>
      <c r="E7" s="14" t="s">
        <v>44</v>
      </c>
      <c r="F7" s="15">
        <v>46190</v>
      </c>
      <c r="G7" s="15">
        <v>46160</v>
      </c>
      <c r="H7" s="17">
        <v>2</v>
      </c>
      <c r="I7" t="str">
        <f>IFERROR(INDEX(tblPlanes[Nombre],MATCH(tblInscripciones[[#This Row],[Plan Id]],tblPlanes[Id],0)),"")</f>
        <v>Mensual Danza</v>
      </c>
      <c r="J7" s="16">
        <v>46190.764918981484</v>
      </c>
    </row>
    <row r="8" spans="1:10" x14ac:dyDescent="0.2">
      <c r="A8" s="3">
        <v>103</v>
      </c>
      <c r="B8" s="17">
        <v>3</v>
      </c>
      <c r="C8" t="str">
        <f>IFERROR(INDEX(tblClientes[Nombre],MATCH(tblInscripciones[[#This Row],[Cliente Id]],tblClientes[Id],0)),"")</f>
        <v>Ana Rodríguez</v>
      </c>
      <c r="D8" s="16">
        <v>46190.67559027778</v>
      </c>
      <c r="E8" s="14" t="s">
        <v>44</v>
      </c>
      <c r="F8" s="15">
        <v>46192</v>
      </c>
      <c r="G8" s="15">
        <v>46162</v>
      </c>
      <c r="H8" s="17">
        <v>3</v>
      </c>
      <c r="I8" t="str">
        <f>IFERROR(INDEX(tblPlanes[Nombre],MATCH(tblInscripciones[[#This Row],[Plan Id]],tblPlanes[Id],0)),"")</f>
        <v>Combo Gym+Danza</v>
      </c>
      <c r="J8" s="16">
        <v>46190.764918981484</v>
      </c>
    </row>
    <row r="9" spans="1:10" x14ac:dyDescent="0.2">
      <c r="A9" s="3">
        <v>104</v>
      </c>
      <c r="B9" s="17">
        <v>4</v>
      </c>
      <c r="C9" t="str">
        <f>IFERROR(INDEX(tblClientes[Nombre],MATCH(tblInscripciones[[#This Row],[Cliente Id]],tblClientes[Id],0)),"")</f>
        <v>Carlos Sánchez</v>
      </c>
      <c r="D9" s="16">
        <v>46190.67559027778</v>
      </c>
      <c r="E9" s="14" t="s">
        <v>44</v>
      </c>
      <c r="F9" s="15">
        <v>46195</v>
      </c>
      <c r="G9" s="15">
        <v>46165</v>
      </c>
      <c r="H9" s="17">
        <v>1</v>
      </c>
      <c r="I9" t="str">
        <f>IFERROR(INDEX(tblPlanes[Nombre],MATCH(tblInscripciones[[#This Row],[Plan Id]],tblPlanes[Id],0)),"")</f>
        <v>Mensual Gym</v>
      </c>
      <c r="J9" s="16">
        <v>46190.764918981484</v>
      </c>
    </row>
    <row r="10" spans="1:10" x14ac:dyDescent="0.2">
      <c r="A10" s="3">
        <v>105</v>
      </c>
      <c r="B10" s="17">
        <v>1</v>
      </c>
      <c r="C10" t="str">
        <f>IFERROR(INDEX(tblClientes[Nombre],MATCH(tblInscripciones[[#This Row],[Cliente Id]],tblClientes[Id],0)),"")</f>
        <v>María López</v>
      </c>
      <c r="D10" s="16">
        <v>46190.67559027778</v>
      </c>
      <c r="E10" s="14" t="s">
        <v>88</v>
      </c>
      <c r="F10" s="15">
        <v>46160</v>
      </c>
      <c r="G10" s="15">
        <v>46130</v>
      </c>
      <c r="H10" s="17">
        <v>2</v>
      </c>
      <c r="I10" t="str">
        <f>IFERROR(INDEX(tblPlanes[Nombre],MATCH(tblInscripciones[[#This Row],[Plan Id]],tblPlanes[Id],0)),"")</f>
        <v>Mensual Danza</v>
      </c>
      <c r="J10" s="16">
        <v>46190.764918981484</v>
      </c>
    </row>
    <row r="11" spans="1:10" x14ac:dyDescent="0.2">
      <c r="A11" s="3">
        <v>106</v>
      </c>
      <c r="B11" s="17">
        <v>5</v>
      </c>
      <c r="C11" t="str">
        <f>IFERROR(INDEX(tblClientes[Nombre],MATCH(tblInscripciones[[#This Row],[Cliente Id]],tblClientes[Id],0)),"")</f>
        <v>Test Cliente 5</v>
      </c>
      <c r="D11" s="16">
        <v>46190.79241898148</v>
      </c>
      <c r="E11" s="14" t="s">
        <v>44</v>
      </c>
      <c r="F11" s="15">
        <v>46218</v>
      </c>
      <c r="G11" s="15">
        <v>46188</v>
      </c>
      <c r="H11" s="17">
        <v>1</v>
      </c>
      <c r="I11" t="str">
        <f>IFERROR(INDEX(tblPlanes[Nombre],MATCH(tblInscripciones[[#This Row],[Plan Id]],tblPlanes[Id],0)),"")</f>
        <v>Mensual Gym</v>
      </c>
    </row>
    <row r="12" spans="1:10" x14ac:dyDescent="0.2">
      <c r="A12" s="3">
        <v>107</v>
      </c>
      <c r="B12" s="17">
        <v>6</v>
      </c>
      <c r="C12" t="str">
        <f>IFERROR(INDEX(tblClientes[Nombre],MATCH(tblInscripciones[[#This Row],[Cliente Id]],tblClientes[Id],0)),"")</f>
        <v>Daniel Salazar</v>
      </c>
      <c r="D12" s="16">
        <v>46190.800405092596</v>
      </c>
      <c r="E12" s="14" t="s">
        <v>44</v>
      </c>
      <c r="F12" s="15">
        <v>46218</v>
      </c>
      <c r="G12" s="15">
        <v>46188</v>
      </c>
      <c r="H12" s="17">
        <v>1</v>
      </c>
      <c r="I12" t="str">
        <f>IFERROR(INDEX(tblPlanes[Nombre],MATCH(tblInscripciones[[#This Row],[Plan Id]],tblPlanes[Id],0)),"")</f>
        <v>Mensual Gym</v>
      </c>
    </row>
    <row r="13" spans="1:10" x14ac:dyDescent="0.2">
      <c r="A13" s="4" t="s">
        <v>43</v>
      </c>
    </row>
  </sheetData>
  <sheetProtection sheet="1" scenarios="1" insertRows="0" deleteRows="0" sort="0" autoFilter="0"/>
  <dataValidations count="3">
    <dataValidation type="list" allowBlank="1" showInputMessage="1" showErrorMessage="1" errorTitle="Unknown reference" error="This value must match an existing Cliente." promptTitle="Cliente Id" prompt="Pick an existing Cliente. The lookup column shows its name." sqref="B2:B512" xr:uid="{00000000-0002-0000-0500-000000000000}">
      <formula1>dv_inscripciones_cliente_id</formula1>
    </dataValidation>
    <dataValidation type="list" allowBlank="1" showInputMessage="1" showErrorMessage="1" errorTitle="Invalid value" error="The value must be one of: Activa, Vencida." promptTitle="Estado" prompt="Pick one of the available values." sqref="E2:E512" xr:uid="{00000000-0002-0000-0500-000001000000}">
      <formula1>"Activa,Vencida"</formula1>
    </dataValidation>
    <dataValidation type="list" allowBlank="1" showInputMessage="1" showErrorMessage="1" errorTitle="Unknown reference" error="This value must match an existing Plan." promptTitle="Plan Id" prompt="Pick an existing Plan. The lookup column shows its name." sqref="H2:H512" xr:uid="{00000000-0002-0000-0500-000002000000}">
      <formula1>dv_inscripciones_plan_id</formula1>
    </dataValidation>
  </dataValidations>
  <hyperlinks>
    <hyperlink ref="A13" location="Home!A1" display="Back to Home" xr:uid="{00000000-0004-0000-0500-000000000000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3" name="sfBtnNew">
              <controlPr defaultSize="0" print="0" autoFill="0" autoPict="0" macro="[0]!modEngine.NewRecord">
                <anchor moveWithCells="1" sizeWithCells="1">
                  <from>
                    <xdr:col>10</xdr:col>
                    <xdr:colOff>152400</xdr:colOff>
                    <xdr:row>0</xdr:row>
                    <xdr:rowOff>50800</xdr:rowOff>
                  </from>
                  <to>
                    <xdr:col>11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4" name="sfBtnEdit">
              <controlPr defaultSize="0" print="0" autoFill="0" autoPict="0" macro="[0]!modEngine.EditRecord">
                <anchor moveWithCells="1" sizeWithCells="1">
                  <from>
                    <xdr:col>11</xdr:col>
                    <xdr:colOff>571500</xdr:colOff>
                    <xdr:row>0</xdr:row>
                    <xdr:rowOff>50800</xdr:rowOff>
                  </from>
                  <to>
                    <xdr:col>13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sfBtnDelete">
              <controlPr defaultSize="0" print="0" autoFill="0" autoPict="0" macro="[0]!modEngine.DeleteSelectedRecord">
                <anchor moveWithCells="1" sizeWithCells="1">
                  <from>
                    <xdr:col>13</xdr:col>
                    <xdr:colOff>317500</xdr:colOff>
                    <xdr:row>0</xdr:row>
                    <xdr:rowOff>50800</xdr:rowOff>
                  </from>
                  <to>
                    <xdr:col>14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rgb="FF6366F1"/>
    <pageSetUpPr fitToPage="1"/>
  </sheetPr>
  <dimension ref="A1:K6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hidden="1" customWidth="1"/>
    <col min="2" max="2" width="14" customWidth="1"/>
    <col min="3" max="3" width="24" customWidth="1"/>
    <col min="4" max="4" width="22" customWidth="1"/>
    <col min="5" max="5" width="17" customWidth="1"/>
    <col min="6" max="6" width="14" customWidth="1"/>
    <col min="7" max="7" width="18" customWidth="1"/>
    <col min="8" max="8" width="24" customWidth="1"/>
    <col min="9" max="9" width="22" customWidth="1"/>
    <col min="10" max="10" width="12" customWidth="1"/>
    <col min="11" max="11" width="17" customWidth="1"/>
  </cols>
  <sheetData>
    <row r="1" spans="1:11" ht="20" customHeight="1" x14ac:dyDescent="0.2">
      <c r="A1" s="1" t="s">
        <v>33</v>
      </c>
      <c r="B1" s="1" t="s">
        <v>37</v>
      </c>
      <c r="C1" s="1" t="s">
        <v>38</v>
      </c>
      <c r="D1" s="1" t="s">
        <v>89</v>
      </c>
      <c r="E1" s="1" t="s">
        <v>39</v>
      </c>
      <c r="F1" s="1" t="s">
        <v>90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42</v>
      </c>
    </row>
    <row r="2" spans="1:11" x14ac:dyDescent="0.2">
      <c r="A2" s="3">
        <v>1</v>
      </c>
      <c r="B2" s="17">
        <v>1</v>
      </c>
      <c r="C2" t="str">
        <f>IFERROR(INDEX(tblClientes[Nombre],MATCH(tblPagos[[#This Row],[Cliente Id]],tblClientes[Id],0)),"")</f>
        <v>María López</v>
      </c>
      <c r="D2" s="14" t="s">
        <v>95</v>
      </c>
      <c r="E2" s="16">
        <v>46190.147106481483</v>
      </c>
      <c r="F2" s="15">
        <v>46037</v>
      </c>
      <c r="G2" s="17">
        <v>1</v>
      </c>
      <c r="H2" s="3">
        <f>IFERROR(INDEX(tblInscripciones[Id],MATCH(tblPagos[[#This Row],[Inscripcion Id]],tblInscripciones[Id],0)),"")</f>
        <v>1</v>
      </c>
      <c r="I2" s="14" t="s">
        <v>96</v>
      </c>
      <c r="J2" s="18">
        <v>1500</v>
      </c>
      <c r="K2" s="16">
        <v>46190.764918981484</v>
      </c>
    </row>
    <row r="3" spans="1:11" x14ac:dyDescent="0.2">
      <c r="A3" s="3">
        <v>2</v>
      </c>
      <c r="B3" s="17">
        <v>2</v>
      </c>
      <c r="C3" t="str">
        <f>IFERROR(INDEX(tblClientes[Nombre],MATCH(tblPagos[[#This Row],[Cliente Id]],tblClientes[Id],0)),"")</f>
        <v>Juan Pérez</v>
      </c>
      <c r="D3" s="14" t="s">
        <v>95</v>
      </c>
      <c r="E3" s="16">
        <v>46190.147106481483</v>
      </c>
      <c r="F3" s="15">
        <v>46042</v>
      </c>
      <c r="G3" s="17">
        <v>2</v>
      </c>
      <c r="H3" s="3">
        <f>IFERROR(INDEX(tblInscripciones[Id],MATCH(tblPagos[[#This Row],[Inscripcion Id]],tblInscripciones[Id],0)),"")</f>
        <v>2</v>
      </c>
      <c r="I3" s="14" t="s">
        <v>97</v>
      </c>
      <c r="J3" s="18">
        <v>1800</v>
      </c>
      <c r="K3" s="16">
        <v>46190.764918981484</v>
      </c>
    </row>
    <row r="4" spans="1:11" x14ac:dyDescent="0.2">
      <c r="A4" s="3">
        <v>3</v>
      </c>
      <c r="B4" s="17">
        <v>3</v>
      </c>
      <c r="C4" t="str">
        <f>IFERROR(INDEX(tblClientes[Nombre],MATCH(tblPagos[[#This Row],[Cliente Id]],tblClientes[Id],0)),"")</f>
        <v>Ana Rodríguez</v>
      </c>
      <c r="D4" s="14" t="s">
        <v>98</v>
      </c>
      <c r="E4" s="16">
        <v>46190.147106481483</v>
      </c>
      <c r="F4" s="15">
        <v>46032</v>
      </c>
      <c r="G4" s="17">
        <v>3</v>
      </c>
      <c r="H4" s="3">
        <f>IFERROR(INDEX(tblInscripciones[Id],MATCH(tblPagos[[#This Row],[Inscripcion Id]],tblInscripciones[Id],0)),"")</f>
        <v>3</v>
      </c>
      <c r="I4" s="14" t="s">
        <v>99</v>
      </c>
      <c r="J4" s="18">
        <v>2800</v>
      </c>
      <c r="K4" s="16">
        <v>46190.764918981484</v>
      </c>
    </row>
    <row r="5" spans="1:11" x14ac:dyDescent="0.2">
      <c r="A5" s="3">
        <v>4</v>
      </c>
      <c r="B5" s="17">
        <v>1</v>
      </c>
      <c r="C5" t="str">
        <f>IFERROR(INDEX(tblClientes[Nombre],MATCH(tblPagos[[#This Row],[Cliente Id]],tblClientes[Id],0)),"")</f>
        <v>María López</v>
      </c>
      <c r="D5" s="14" t="s">
        <v>100</v>
      </c>
      <c r="E5" s="16">
        <v>46190.147106481483</v>
      </c>
      <c r="F5" s="15">
        <v>46068</v>
      </c>
      <c r="G5" s="17">
        <v>4</v>
      </c>
      <c r="H5" s="3">
        <f>IFERROR(INDEX(tblInscripciones[Id],MATCH(tblPagos[[#This Row],[Inscripcion Id]],tblInscripciones[Id],0)),"")</f>
        <v>4</v>
      </c>
      <c r="I5" s="14" t="s">
        <v>96</v>
      </c>
      <c r="J5" s="18">
        <v>2800</v>
      </c>
      <c r="K5" s="16">
        <v>46190.764918981484</v>
      </c>
    </row>
    <row r="6" spans="1:11" x14ac:dyDescent="0.2">
      <c r="A6" s="4" t="s">
        <v>43</v>
      </c>
    </row>
  </sheetData>
  <sheetProtection sheet="1" scenarios="1" insertRows="0" deleteRows="0" sort="0" autoFilter="0"/>
  <dataValidations count="3">
    <dataValidation type="list" allowBlank="1" showInputMessage="1" showErrorMessage="1" errorTitle="Unknown reference" error="This value must match an existing Cliente." promptTitle="Cliente Id" prompt="Pick an existing Cliente. The lookup column shows its name." sqref="B2:B505" xr:uid="{00000000-0002-0000-0600-000000000000}">
      <formula1>dv_pagos_cliente_id</formula1>
    </dataValidation>
    <dataValidation type="list" allowBlank="1" showInputMessage="1" showErrorMessage="1" errorTitle="Unknown reference" error="This value must match an existing Inscripción." promptTitle="Inscripcion Id" prompt="Pick an existing Inscripción. The lookup column shows its name." sqref="G2:G505" xr:uid="{00000000-0002-0000-0600-000001000000}">
      <formula1>dv_pagos_inscripcion_id</formula1>
    </dataValidation>
    <dataValidation type="list" allowBlank="1" showInputMessage="1" showErrorMessage="1" errorTitle="Invalid value" error="The value must be one of: Efectivo, Tarjeta, Transferencia." promptTitle="Metodo" prompt="Pick one of the available values." sqref="I2:I505" xr:uid="{00000000-0002-0000-0600-000002000000}">
      <formula1>"Efectivo,Tarjeta,Transferencia"</formula1>
    </dataValidation>
  </dataValidations>
  <hyperlinks>
    <hyperlink ref="A6" location="Home!A1" display="Back to Home" xr:uid="{00000000-0004-0000-0600-000000000000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3" name="sfBtnNew">
              <controlPr defaultSize="0" print="0" autoFill="0" autoPict="0" macro="[0]!modEngine.NewRecord">
                <anchor moveWithCells="1" sizeWithCells="1">
                  <from>
                    <xdr:col>11</xdr:col>
                    <xdr:colOff>152400</xdr:colOff>
                    <xdr:row>0</xdr:row>
                    <xdr:rowOff>50800</xdr:rowOff>
                  </from>
                  <to>
                    <xdr:col>12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4" name="sfBtnEdit">
              <controlPr defaultSize="0" print="0" autoFill="0" autoPict="0" macro="[0]!modEngine.EditRecord">
                <anchor moveWithCells="1" sizeWithCells="1">
                  <from>
                    <xdr:col>12</xdr:col>
                    <xdr:colOff>571500</xdr:colOff>
                    <xdr:row>0</xdr:row>
                    <xdr:rowOff>50800</xdr:rowOff>
                  </from>
                  <to>
                    <xdr:col>14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5" name="sfBtnDelete">
              <controlPr defaultSize="0" print="0" autoFill="0" autoPict="0" macro="[0]!modEngine.DeleteSelectedRecord">
                <anchor moveWithCells="1" sizeWithCells="1">
                  <from>
                    <xdr:col>14</xdr:col>
                    <xdr:colOff>317500</xdr:colOff>
                    <xdr:row>0</xdr:row>
                    <xdr:rowOff>50800</xdr:rowOff>
                  </from>
                  <to>
                    <xdr:col>15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rgb="FF6366F1"/>
    <pageSetUpPr fitToPage="1"/>
  </sheetPr>
  <dimension ref="A1:I6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hidden="1" customWidth="1"/>
    <col min="2" max="2" width="12" customWidth="1"/>
    <col min="3" max="3" width="17" customWidth="1"/>
    <col min="4" max="4" width="22" customWidth="1"/>
    <col min="5" max="5" width="17" customWidth="1"/>
    <col min="6" max="6" width="22" customWidth="1"/>
    <col min="7" max="7" width="12" customWidth="1"/>
    <col min="8" max="8" width="22" customWidth="1"/>
    <col min="9" max="9" width="17" customWidth="1"/>
  </cols>
  <sheetData>
    <row r="1" spans="1:9" ht="20" customHeight="1" x14ac:dyDescent="0.2">
      <c r="A1" s="1" t="s">
        <v>33</v>
      </c>
      <c r="B1" s="1" t="s">
        <v>65</v>
      </c>
      <c r="C1" s="1" t="s">
        <v>39</v>
      </c>
      <c r="D1" s="1" t="s">
        <v>46</v>
      </c>
      <c r="E1" s="1" t="s">
        <v>101</v>
      </c>
      <c r="F1" s="1" t="s">
        <v>48</v>
      </c>
      <c r="G1" s="1" t="s">
        <v>102</v>
      </c>
      <c r="H1" s="1" t="s">
        <v>103</v>
      </c>
      <c r="I1" s="1" t="s">
        <v>42</v>
      </c>
    </row>
    <row r="2" spans="1:9" x14ac:dyDescent="0.2">
      <c r="A2" s="3">
        <v>1</v>
      </c>
      <c r="B2" s="17">
        <v>1</v>
      </c>
      <c r="C2" s="16">
        <v>46190.147106481483</v>
      </c>
      <c r="D2" s="14" t="s">
        <v>104</v>
      </c>
      <c r="E2" s="17">
        <v>30</v>
      </c>
      <c r="F2" s="14" t="s">
        <v>105</v>
      </c>
      <c r="G2" s="18">
        <v>1500</v>
      </c>
      <c r="H2" s="14" t="s">
        <v>106</v>
      </c>
      <c r="I2" s="16">
        <v>46190.764918981484</v>
      </c>
    </row>
    <row r="3" spans="1:9" x14ac:dyDescent="0.2">
      <c r="A3" s="3">
        <v>2</v>
      </c>
      <c r="B3" s="17">
        <v>1</v>
      </c>
      <c r="C3" s="16">
        <v>46190.147106481483</v>
      </c>
      <c r="D3" s="14" t="s">
        <v>107</v>
      </c>
      <c r="E3" s="17">
        <v>30</v>
      </c>
      <c r="F3" s="14" t="s">
        <v>108</v>
      </c>
      <c r="G3" s="18">
        <v>1800</v>
      </c>
      <c r="H3" s="14" t="s">
        <v>109</v>
      </c>
      <c r="I3" s="16">
        <v>46190.764918981484</v>
      </c>
    </row>
    <row r="4" spans="1:9" x14ac:dyDescent="0.2">
      <c r="A4" s="3">
        <v>3</v>
      </c>
      <c r="B4" s="17">
        <v>1</v>
      </c>
      <c r="C4" s="16">
        <v>46190.147106481483</v>
      </c>
      <c r="D4" s="14" t="s">
        <v>110</v>
      </c>
      <c r="E4" s="17">
        <v>30</v>
      </c>
      <c r="F4" s="14" t="s">
        <v>111</v>
      </c>
      <c r="G4" s="18">
        <v>2800</v>
      </c>
      <c r="H4" s="14" t="s">
        <v>112</v>
      </c>
      <c r="I4" s="16">
        <v>46190.764918981484</v>
      </c>
    </row>
    <row r="5" spans="1:9" x14ac:dyDescent="0.2">
      <c r="A5" s="3">
        <v>4</v>
      </c>
      <c r="B5" s="17">
        <v>1</v>
      </c>
      <c r="C5" s="16">
        <v>46190.147106481483</v>
      </c>
      <c r="D5" s="14" t="s">
        <v>113</v>
      </c>
      <c r="E5" s="17">
        <v>1</v>
      </c>
      <c r="F5" s="14" t="s">
        <v>114</v>
      </c>
      <c r="G5" s="18">
        <v>150</v>
      </c>
      <c r="H5" s="14" t="s">
        <v>115</v>
      </c>
      <c r="I5" s="16">
        <v>46190.764918981484</v>
      </c>
    </row>
    <row r="6" spans="1:9" x14ac:dyDescent="0.2">
      <c r="A6" s="4" t="s">
        <v>43</v>
      </c>
    </row>
  </sheetData>
  <sheetProtection sheet="1" scenarios="1" insertRows="0" deleteRows="0" sort="0" autoFilter="0"/>
  <dataValidations count="1">
    <dataValidation type="list" allowBlank="1" showInputMessage="1" showErrorMessage="1" errorTitle="Invalid value" error="The value must be one of: Gym, Danza, Combo, Otro." promptTitle="Tipo" prompt="Pick one of the available values." sqref="H2:H505" xr:uid="{00000000-0002-0000-0700-000000000000}">
      <formula1>"Gym,Danza,Combo,Otro"</formula1>
    </dataValidation>
  </dataValidations>
  <hyperlinks>
    <hyperlink ref="A6" location="Home!A1" display="Back to Home" xr:uid="{00000000-0004-0000-0700-000000000000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sfBtnNew">
              <controlPr defaultSize="0" print="0" autoFill="0" autoPict="0" macro="[0]!modEngine.NewRecord">
                <anchor moveWithCells="1" sizeWithCells="1">
                  <from>
                    <xdr:col>9</xdr:col>
                    <xdr:colOff>152400</xdr:colOff>
                    <xdr:row>0</xdr:row>
                    <xdr:rowOff>50800</xdr:rowOff>
                  </from>
                  <to>
                    <xdr:col>10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sfBtnEdit">
              <controlPr defaultSize="0" print="0" autoFill="0" autoPict="0" macro="[0]!modEngine.EditRecord">
                <anchor moveWithCells="1" sizeWithCells="1">
                  <from>
                    <xdr:col>10</xdr:col>
                    <xdr:colOff>571500</xdr:colOff>
                    <xdr:row>0</xdr:row>
                    <xdr:rowOff>50800</xdr:rowOff>
                  </from>
                  <to>
                    <xdr:col>12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sfBtnDelete">
              <controlPr defaultSize="0" print="0" autoFill="0" autoPict="0" macro="[0]!modEngine.DeleteSelectedRecord">
                <anchor moveWithCells="1" sizeWithCells="1">
                  <from>
                    <xdr:col>12</xdr:col>
                    <xdr:colOff>317500</xdr:colOff>
                    <xdr:row>0</xdr:row>
                    <xdr:rowOff>50800</xdr:rowOff>
                  </from>
                  <to>
                    <xdr:col>13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rgb="FF6366F1"/>
    <pageSetUpPr fitToPage="1"/>
  </sheetPr>
  <dimension ref="A1:H6"/>
  <sheetViews>
    <sheetView zoomScale="90" zoomScaleNormal="9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" hidden="1" customWidth="1"/>
    <col min="2" max="2" width="12" customWidth="1"/>
    <col min="3" max="3" width="17" customWidth="1"/>
    <col min="4" max="7" width="22" customWidth="1"/>
    <col min="8" max="8" width="17" customWidth="1"/>
  </cols>
  <sheetData>
    <row r="1" spans="1:8" ht="20" customHeight="1" x14ac:dyDescent="0.2">
      <c r="A1" s="1" t="s">
        <v>33</v>
      </c>
      <c r="B1" s="1" t="s">
        <v>65</v>
      </c>
      <c r="C1" s="1" t="s">
        <v>39</v>
      </c>
      <c r="D1" s="1" t="s">
        <v>60</v>
      </c>
      <c r="E1" s="1" t="s">
        <v>116</v>
      </c>
      <c r="F1" s="1" t="s">
        <v>48</v>
      </c>
      <c r="G1" s="1" t="s">
        <v>63</v>
      </c>
      <c r="H1" s="1" t="s">
        <v>42</v>
      </c>
    </row>
    <row r="2" spans="1:8" x14ac:dyDescent="0.2">
      <c r="A2" s="3">
        <v>1</v>
      </c>
      <c r="B2" s="17">
        <v>1</v>
      </c>
      <c r="C2" s="16">
        <v>46190.147106481483</v>
      </c>
      <c r="D2" s="14"/>
      <c r="E2" s="14" t="s">
        <v>117</v>
      </c>
      <c r="F2" s="14" t="s">
        <v>118</v>
      </c>
      <c r="G2" s="14" t="s">
        <v>119</v>
      </c>
      <c r="H2" s="16">
        <v>46190.764918981484</v>
      </c>
    </row>
    <row r="3" spans="1:8" x14ac:dyDescent="0.2">
      <c r="A3" s="3">
        <v>2</v>
      </c>
      <c r="B3" s="17">
        <v>1</v>
      </c>
      <c r="C3" s="16">
        <v>46190.147106481483</v>
      </c>
      <c r="D3" s="14"/>
      <c r="E3" s="14" t="s">
        <v>109</v>
      </c>
      <c r="F3" s="14" t="s">
        <v>120</v>
      </c>
      <c r="G3" s="14" t="s">
        <v>121</v>
      </c>
      <c r="H3" s="16">
        <v>46190.764918981484</v>
      </c>
    </row>
    <row r="4" spans="1:8" x14ac:dyDescent="0.2">
      <c r="A4" s="3">
        <v>3</v>
      </c>
      <c r="B4" s="17">
        <v>1</v>
      </c>
      <c r="C4" s="16">
        <v>46190.147106481483</v>
      </c>
      <c r="D4" s="14"/>
      <c r="E4" s="14" t="s">
        <v>122</v>
      </c>
      <c r="F4" s="14" t="s">
        <v>123</v>
      </c>
      <c r="G4" s="14" t="s">
        <v>124</v>
      </c>
      <c r="H4" s="16">
        <v>46190.764918981484</v>
      </c>
    </row>
    <row r="5" spans="1:8" x14ac:dyDescent="0.2">
      <c r="A5" s="3">
        <v>4</v>
      </c>
      <c r="B5" s="17">
        <v>1</v>
      </c>
      <c r="C5" s="16">
        <v>46190.147106481483</v>
      </c>
      <c r="D5" s="14"/>
      <c r="E5" s="14" t="s">
        <v>58</v>
      </c>
      <c r="F5" s="14" t="s">
        <v>125</v>
      </c>
      <c r="G5" s="14" t="s">
        <v>126</v>
      </c>
      <c r="H5" s="16">
        <v>46190.764918981484</v>
      </c>
    </row>
    <row r="6" spans="1:8" x14ac:dyDescent="0.2">
      <c r="A6" s="4" t="s">
        <v>43</v>
      </c>
    </row>
  </sheetData>
  <sheetProtection sheet="1" scenarios="1" insertRows="0" deleteRows="0" sort="0" autoFilter="0"/>
  <dataValidations count="1">
    <dataValidation type="list" allowBlank="1" showInputMessage="1" showErrorMessage="1" errorTitle="Invalid value" error="The value must be one of: Gimnasio, Danza, Yoga, Pilates." promptTitle="Especialidad" prompt="Pick one of the available values." sqref="E2:E505" xr:uid="{00000000-0002-0000-0800-000000000000}">
      <formula1>"Gimnasio,Danza,Yoga,Pilates"</formula1>
    </dataValidation>
  </dataValidations>
  <hyperlinks>
    <hyperlink ref="A6" location="Home!A1" display="Back to Home" xr:uid="{00000000-0004-0000-0800-000000000000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sfBtnNew">
              <controlPr defaultSize="0" print="0" autoFill="0" autoPict="0" macro="[0]!modEngine.NewRecord">
                <anchor moveWithCells="1" sizeWithCells="1">
                  <from>
                    <xdr:col>8</xdr:col>
                    <xdr:colOff>152400</xdr:colOff>
                    <xdr:row>0</xdr:row>
                    <xdr:rowOff>50800</xdr:rowOff>
                  </from>
                  <to>
                    <xdr:col>9</xdr:col>
                    <xdr:colOff>495300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sfBtnEdit">
              <controlPr defaultSize="0" print="0" autoFill="0" autoPict="0" macro="[0]!modEngine.EditRecord">
                <anchor moveWithCells="1" sizeWithCells="1">
                  <from>
                    <xdr:col>9</xdr:col>
                    <xdr:colOff>571500</xdr:colOff>
                    <xdr:row>0</xdr:row>
                    <xdr:rowOff>50800</xdr:rowOff>
                  </from>
                  <to>
                    <xdr:col>11</xdr:col>
                    <xdr:colOff>241300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sfBtnDelete">
              <controlPr defaultSize="0" print="0" autoFill="0" autoPict="0" macro="[0]!modEngine.DeleteSelectedRecord">
                <anchor moveWithCells="1" sizeWithCells="1">
                  <from>
                    <xdr:col>11</xdr:col>
                    <xdr:colOff>317500</xdr:colOff>
                    <xdr:row>0</xdr:row>
                    <xdr:rowOff>50800</xdr:rowOff>
                  </from>
                  <to>
                    <xdr:col>12</xdr:col>
                    <xdr:colOff>660400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7C3AED"/>
    <pageSetUpPr fitToPage="1"/>
  </sheetPr>
  <dimension ref="A1:G8"/>
  <sheetViews>
    <sheetView showGridLines="0" zoomScale="90" zoomScaleNormal="90" workbookViewId="0">
      <selection activeCell="A3" sqref="A3"/>
    </sheetView>
  </sheetViews>
  <sheetFormatPr baseColWidth="10" defaultColWidth="8.83203125" defaultRowHeight="15" x14ac:dyDescent="0.2"/>
  <cols>
    <col min="1" max="1" width="12.83203125" customWidth="1"/>
    <col min="2" max="2" width="24.83203125" customWidth="1"/>
    <col min="3" max="3" width="22.83203125" customWidth="1"/>
    <col min="4" max="4" width="30.83203125" customWidth="1"/>
    <col min="5" max="5" width="14.83203125" customWidth="1"/>
    <col min="6" max="6" width="10.83203125" customWidth="1"/>
    <col min="7" max="7" width="28.83203125" customWidth="1"/>
  </cols>
  <sheetData>
    <row r="1" spans="1:7" ht="19" x14ac:dyDescent="0.25">
      <c r="A1" s="19" t="s">
        <v>175</v>
      </c>
    </row>
    <row r="2" spans="1:7" x14ac:dyDescent="0.2">
      <c r="A2" s="20" t="s">
        <v>180</v>
      </c>
    </row>
    <row r="3" spans="1:7" x14ac:dyDescent="0.2">
      <c r="A3" s="21" t="s">
        <v>32</v>
      </c>
    </row>
    <row r="4" spans="1:7" x14ac:dyDescent="0.2">
      <c r="A4" s="24" t="s">
        <v>40</v>
      </c>
      <c r="B4" t="s">
        <v>249</v>
      </c>
      <c r="C4" t="s">
        <v>264</v>
      </c>
      <c r="D4" t="s">
        <v>252</v>
      </c>
      <c r="E4" t="s">
        <v>63</v>
      </c>
      <c r="F4" t="s">
        <v>34</v>
      </c>
      <c r="G4" t="s">
        <v>41</v>
      </c>
    </row>
    <row r="5" spans="1:7" x14ac:dyDescent="0.2">
      <c r="A5" s="24">
        <v>46037</v>
      </c>
      <c r="B5" t="s">
        <v>52</v>
      </c>
      <c r="C5" t="s">
        <v>118</v>
      </c>
      <c r="D5" t="s">
        <v>66</v>
      </c>
      <c r="E5" t="s">
        <v>67</v>
      </c>
      <c r="F5" s="25" t="s">
        <v>392</v>
      </c>
    </row>
    <row r="6" spans="1:7" x14ac:dyDescent="0.2">
      <c r="A6" s="24">
        <v>46039</v>
      </c>
      <c r="B6" t="s">
        <v>52</v>
      </c>
      <c r="C6" t="s">
        <v>118</v>
      </c>
      <c r="D6" t="s">
        <v>66</v>
      </c>
      <c r="E6" t="s">
        <v>67</v>
      </c>
      <c r="F6" s="25" t="s">
        <v>392</v>
      </c>
    </row>
    <row r="7" spans="1:7" x14ac:dyDescent="0.2">
      <c r="A7" s="24">
        <v>46043</v>
      </c>
      <c r="B7" t="s">
        <v>54</v>
      </c>
      <c r="C7" t="s">
        <v>120</v>
      </c>
      <c r="D7" t="s">
        <v>69</v>
      </c>
      <c r="E7" t="s">
        <v>70</v>
      </c>
      <c r="F7" s="25" t="s">
        <v>392</v>
      </c>
    </row>
    <row r="8" spans="1:7" x14ac:dyDescent="0.2">
      <c r="A8" s="24">
        <v>46044</v>
      </c>
      <c r="B8" t="s">
        <v>56</v>
      </c>
      <c r="C8" t="s">
        <v>123</v>
      </c>
      <c r="D8" t="s">
        <v>72</v>
      </c>
      <c r="E8" t="s">
        <v>73</v>
      </c>
      <c r="F8" s="25" t="s">
        <v>393</v>
      </c>
    </row>
  </sheetData>
  <phoneticPr fontId="13" type="noConversion"/>
  <hyperlinks>
    <hyperlink ref="A3" location="'Home'!A1" display="← Back to Home" xr:uid="{49054EBE-AF78-5341-B5DB-CBAC82D1B1B9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sfRptRefresh">
              <controlPr defaultSize="0" print="0" autoFill="0" autoPict="0" macro="[0]!modEngine.RefreshReportFromButton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1219200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7C3AED"/>
    <pageSetUpPr fitToPage="1"/>
  </sheetPr>
  <dimension ref="A1:F8"/>
  <sheetViews>
    <sheetView showGridLines="0" zoomScale="90" zoomScaleNormal="90" workbookViewId="0">
      <selection activeCell="A3" sqref="A3"/>
    </sheetView>
  </sheetViews>
  <sheetFormatPr baseColWidth="10" defaultColWidth="8.83203125" defaultRowHeight="15" x14ac:dyDescent="0.2"/>
  <cols>
    <col min="1" max="1" width="24.83203125" customWidth="1"/>
    <col min="2" max="2" width="22.83203125" customWidth="1"/>
    <col min="3" max="3" width="16.83203125" customWidth="1"/>
    <col min="4" max="4" width="18.83203125" customWidth="1"/>
    <col min="5" max="6" width="12.83203125" customWidth="1"/>
  </cols>
  <sheetData>
    <row r="1" spans="1:6" ht="19" x14ac:dyDescent="0.25">
      <c r="A1" s="19" t="s">
        <v>185</v>
      </c>
    </row>
    <row r="2" spans="1:6" x14ac:dyDescent="0.2">
      <c r="A2" s="20" t="s">
        <v>186</v>
      </c>
    </row>
    <row r="3" spans="1:6" x14ac:dyDescent="0.2">
      <c r="A3" s="21" t="s">
        <v>32</v>
      </c>
    </row>
    <row r="4" spans="1:6" x14ac:dyDescent="0.2">
      <c r="A4" t="s">
        <v>249</v>
      </c>
      <c r="B4" t="s">
        <v>264</v>
      </c>
      <c r="C4" t="s">
        <v>116</v>
      </c>
      <c r="D4" t="s">
        <v>47</v>
      </c>
      <c r="E4" s="26" t="s">
        <v>45</v>
      </c>
      <c r="F4" t="s">
        <v>61</v>
      </c>
    </row>
    <row r="5" spans="1:6" x14ac:dyDescent="0.2">
      <c r="A5" t="s">
        <v>52</v>
      </c>
      <c r="B5" t="s">
        <v>118</v>
      </c>
      <c r="C5" t="s">
        <v>117</v>
      </c>
      <c r="D5" t="s">
        <v>51</v>
      </c>
      <c r="E5" s="26">
        <v>15</v>
      </c>
      <c r="F5" t="s">
        <v>44</v>
      </c>
    </row>
    <row r="6" spans="1:6" x14ac:dyDescent="0.2">
      <c r="A6" t="s">
        <v>54</v>
      </c>
      <c r="B6" t="s">
        <v>120</v>
      </c>
      <c r="C6" t="s">
        <v>109</v>
      </c>
      <c r="D6" t="s">
        <v>53</v>
      </c>
      <c r="E6" s="26">
        <v>20</v>
      </c>
      <c r="F6" t="s">
        <v>44</v>
      </c>
    </row>
    <row r="7" spans="1:6" x14ac:dyDescent="0.2">
      <c r="A7" t="s">
        <v>56</v>
      </c>
      <c r="B7" t="s">
        <v>123</v>
      </c>
      <c r="C7" t="s">
        <v>122</v>
      </c>
      <c r="D7" t="s">
        <v>55</v>
      </c>
      <c r="E7" s="26">
        <v>12</v>
      </c>
      <c r="F7" t="s">
        <v>44</v>
      </c>
    </row>
    <row r="8" spans="1:6" x14ac:dyDescent="0.2">
      <c r="A8" t="s">
        <v>58</v>
      </c>
      <c r="B8" t="s">
        <v>125</v>
      </c>
      <c r="C8" t="s">
        <v>58</v>
      </c>
      <c r="D8" t="s">
        <v>57</v>
      </c>
      <c r="E8" s="26">
        <v>15</v>
      </c>
      <c r="F8" t="s">
        <v>44</v>
      </c>
    </row>
  </sheetData>
  <phoneticPr fontId="13" type="noConversion"/>
  <hyperlinks>
    <hyperlink ref="A3" location="'Home'!A1" display="← Back to Home" xr:uid="{80A96868-7729-0C4A-9044-5C9D9F34259D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sfRptRefresh">
              <controlPr defaultSize="0" print="0" autoFill="0" autoPict="0" macro="[0]!modEngine.RefreshReportFromButton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546100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>
    <tabColor rgb="FF7C3AED"/>
    <pageSetUpPr fitToPage="1"/>
  </sheetPr>
  <dimension ref="A1:F8"/>
  <sheetViews>
    <sheetView showGridLines="0" zoomScale="90" zoomScaleNormal="90" workbookViewId="0"/>
  </sheetViews>
  <sheetFormatPr baseColWidth="10" defaultColWidth="8.83203125" defaultRowHeight="15" x14ac:dyDescent="0.2"/>
  <cols>
    <col min="1" max="1" width="22.83203125" customWidth="1"/>
    <col min="2" max="2" width="16.83203125" customWidth="1"/>
    <col min="3" max="3" width="24.83203125" customWidth="1"/>
    <col min="4" max="4" width="18.83203125" customWidth="1"/>
    <col min="5" max="5" width="12.83203125" customWidth="1"/>
    <col min="6" max="6" width="10.83203125" customWidth="1"/>
  </cols>
  <sheetData>
    <row r="1" spans="1:6" ht="19" x14ac:dyDescent="0.25">
      <c r="A1" s="19" t="s">
        <v>187</v>
      </c>
    </row>
    <row r="2" spans="1:6" x14ac:dyDescent="0.2">
      <c r="A2" s="20" t="s">
        <v>191</v>
      </c>
    </row>
    <row r="3" spans="1:6" x14ac:dyDescent="0.2">
      <c r="A3" s="21" t="s">
        <v>32</v>
      </c>
    </row>
    <row r="4" spans="1:6" x14ac:dyDescent="0.2">
      <c r="A4" t="s">
        <v>264</v>
      </c>
      <c r="B4" t="s">
        <v>116</v>
      </c>
      <c r="C4" t="s">
        <v>249</v>
      </c>
      <c r="D4" t="s">
        <v>47</v>
      </c>
      <c r="E4" s="26" t="s">
        <v>45</v>
      </c>
      <c r="F4" t="s">
        <v>44</v>
      </c>
    </row>
    <row r="5" spans="1:6" x14ac:dyDescent="0.2">
      <c r="A5" t="s">
        <v>118</v>
      </c>
      <c r="B5" t="s">
        <v>117</v>
      </c>
      <c r="C5" t="s">
        <v>52</v>
      </c>
      <c r="D5" t="s">
        <v>51</v>
      </c>
      <c r="E5" s="26">
        <v>15</v>
      </c>
      <c r="F5" s="25" t="s">
        <v>392</v>
      </c>
    </row>
    <row r="6" spans="1:6" x14ac:dyDescent="0.2">
      <c r="A6" t="s">
        <v>120</v>
      </c>
      <c r="B6" t="s">
        <v>109</v>
      </c>
      <c r="C6" t="s">
        <v>54</v>
      </c>
      <c r="D6" t="s">
        <v>53</v>
      </c>
      <c r="E6" s="26">
        <v>20</v>
      </c>
      <c r="F6" s="25" t="s">
        <v>392</v>
      </c>
    </row>
    <row r="7" spans="1:6" x14ac:dyDescent="0.2">
      <c r="A7" t="s">
        <v>123</v>
      </c>
      <c r="B7" t="s">
        <v>122</v>
      </c>
      <c r="C7" t="s">
        <v>56</v>
      </c>
      <c r="D7" t="s">
        <v>55</v>
      </c>
      <c r="E7" s="26">
        <v>12</v>
      </c>
      <c r="F7" s="25" t="s">
        <v>392</v>
      </c>
    </row>
    <row r="8" spans="1:6" x14ac:dyDescent="0.2">
      <c r="A8" t="s">
        <v>125</v>
      </c>
      <c r="B8" t="s">
        <v>58</v>
      </c>
      <c r="C8" t="s">
        <v>58</v>
      </c>
      <c r="D8" t="s">
        <v>57</v>
      </c>
      <c r="E8" s="26">
        <v>15</v>
      </c>
      <c r="F8" s="25" t="s">
        <v>392</v>
      </c>
    </row>
  </sheetData>
  <phoneticPr fontId="13" type="noConversion"/>
  <hyperlinks>
    <hyperlink ref="A3" location="'Home'!A1" display="← Back to Home" xr:uid="{D9E8C60F-FA30-5A40-92E2-641A995B6B60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sfRptRefresh">
              <controlPr defaultSize="0" print="0" autoFill="0" autoPict="0" macro="[0]!modEngine.RefreshReportFromButton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546100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>
    <tabColor rgb="FF7C3AED"/>
    <pageSetUpPr fitToPage="1"/>
  </sheetPr>
  <dimension ref="A1:F10"/>
  <sheetViews>
    <sheetView showGridLines="0" zoomScale="90" zoomScaleNormal="90" workbookViewId="0"/>
  </sheetViews>
  <sheetFormatPr baseColWidth="10" defaultColWidth="8.83203125" defaultRowHeight="15" x14ac:dyDescent="0.2"/>
  <cols>
    <col min="1" max="1" width="30.83203125" customWidth="1"/>
    <col min="2" max="2" width="14.83203125" customWidth="1"/>
    <col min="3" max="3" width="26.83203125" customWidth="1"/>
    <col min="4" max="4" width="14.83203125" customWidth="1"/>
    <col min="5" max="5" width="16.83203125" customWidth="1"/>
    <col min="6" max="6" width="14.83203125" customWidth="1"/>
  </cols>
  <sheetData>
    <row r="1" spans="1:6" ht="19" x14ac:dyDescent="0.25">
      <c r="A1" s="19" t="s">
        <v>192</v>
      </c>
    </row>
    <row r="2" spans="1:6" x14ac:dyDescent="0.2">
      <c r="A2" s="20" t="s">
        <v>196</v>
      </c>
    </row>
    <row r="3" spans="1:6" x14ac:dyDescent="0.2">
      <c r="A3" s="21" t="s">
        <v>32</v>
      </c>
    </row>
    <row r="4" spans="1:6" x14ac:dyDescent="0.2">
      <c r="A4" t="s">
        <v>252</v>
      </c>
      <c r="B4" t="s">
        <v>63</v>
      </c>
      <c r="C4" t="s">
        <v>60</v>
      </c>
      <c r="D4" t="s">
        <v>61</v>
      </c>
      <c r="E4" s="26" t="s">
        <v>400</v>
      </c>
      <c r="F4" s="24" t="s">
        <v>401</v>
      </c>
    </row>
    <row r="5" spans="1:6" x14ac:dyDescent="0.2">
      <c r="A5" t="s">
        <v>66</v>
      </c>
      <c r="B5" t="s">
        <v>67</v>
      </c>
      <c r="C5" t="s">
        <v>64</v>
      </c>
      <c r="D5" t="s">
        <v>65</v>
      </c>
      <c r="E5" s="26">
        <v>4</v>
      </c>
      <c r="F5" s="24">
        <v>46190</v>
      </c>
    </row>
    <row r="6" spans="1:6" x14ac:dyDescent="0.2">
      <c r="A6" t="s">
        <v>69</v>
      </c>
      <c r="B6" t="s">
        <v>70</v>
      </c>
      <c r="C6" t="s">
        <v>68</v>
      </c>
      <c r="D6" t="s">
        <v>65</v>
      </c>
      <c r="E6" s="26">
        <v>2</v>
      </c>
      <c r="F6" s="24">
        <v>46190</v>
      </c>
    </row>
    <row r="7" spans="1:6" x14ac:dyDescent="0.2">
      <c r="A7" t="s">
        <v>72</v>
      </c>
      <c r="B7" t="s">
        <v>73</v>
      </c>
      <c r="C7" t="s">
        <v>71</v>
      </c>
      <c r="D7" t="s">
        <v>65</v>
      </c>
      <c r="E7" s="26">
        <v>2</v>
      </c>
      <c r="F7" s="24">
        <v>46190</v>
      </c>
    </row>
    <row r="8" spans="1:6" x14ac:dyDescent="0.2">
      <c r="A8" t="s">
        <v>76</v>
      </c>
      <c r="B8" t="s">
        <v>77</v>
      </c>
      <c r="C8" t="s">
        <v>74</v>
      </c>
      <c r="D8" t="s">
        <v>75</v>
      </c>
      <c r="E8" s="26">
        <v>1</v>
      </c>
      <c r="F8" s="24">
        <v>46190</v>
      </c>
    </row>
    <row r="9" spans="1:6" x14ac:dyDescent="0.2">
      <c r="A9" t="s">
        <v>79</v>
      </c>
      <c r="B9" t="s">
        <v>80</v>
      </c>
      <c r="C9" t="s">
        <v>78</v>
      </c>
      <c r="D9" t="s">
        <v>65</v>
      </c>
      <c r="E9" s="26">
        <v>1</v>
      </c>
      <c r="F9" s="24">
        <v>46190</v>
      </c>
    </row>
    <row r="10" spans="1:6" x14ac:dyDescent="0.2">
      <c r="A10" t="s">
        <v>82</v>
      </c>
      <c r="B10" t="s">
        <v>83</v>
      </c>
      <c r="C10" t="s">
        <v>81</v>
      </c>
      <c r="D10" t="s">
        <v>65</v>
      </c>
      <c r="E10" s="26">
        <v>1</v>
      </c>
      <c r="F10" s="24">
        <v>46190</v>
      </c>
    </row>
  </sheetData>
  <phoneticPr fontId="13" type="noConversion"/>
  <hyperlinks>
    <hyperlink ref="A3" location="'Home'!A1" display="← Back to Home" xr:uid="{43684F6F-A831-4C44-AC07-9ED2E8EAC225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sfRptRefresh">
              <controlPr defaultSize="0" print="0" autoFill="0" autoPict="0" macro="[0]!modEngine.RefreshReportFromButton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546100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>
    <tabColor rgb="FF7C3AED"/>
    <pageSetUpPr fitToPage="1"/>
  </sheetPr>
  <dimension ref="A1:G10"/>
  <sheetViews>
    <sheetView showGridLines="0" zoomScale="90" zoomScaleNormal="90" workbookViewId="0"/>
  </sheetViews>
  <sheetFormatPr baseColWidth="10" defaultColWidth="8.83203125" defaultRowHeight="15" x14ac:dyDescent="0.2"/>
  <cols>
    <col min="1" max="1" width="30.83203125" customWidth="1"/>
    <col min="2" max="2" width="14.83203125" customWidth="1"/>
    <col min="3" max="3" width="26.83203125" customWidth="1"/>
    <col min="4" max="4" width="14.83203125" customWidth="1"/>
    <col min="5" max="6" width="16.83203125" customWidth="1"/>
    <col min="7" max="7" width="18.83203125" customWidth="1"/>
  </cols>
  <sheetData>
    <row r="1" spans="1:7" ht="19" x14ac:dyDescent="0.25">
      <c r="A1" s="19" t="s">
        <v>197</v>
      </c>
    </row>
    <row r="2" spans="1:7" x14ac:dyDescent="0.2">
      <c r="A2" s="20" t="s">
        <v>201</v>
      </c>
    </row>
    <row r="3" spans="1:7" x14ac:dyDescent="0.2">
      <c r="A3" s="21" t="s">
        <v>32</v>
      </c>
    </row>
    <row r="4" spans="1:7" x14ac:dyDescent="0.2">
      <c r="A4" t="s">
        <v>252</v>
      </c>
      <c r="B4" t="s">
        <v>63</v>
      </c>
      <c r="C4" t="s">
        <v>60</v>
      </c>
      <c r="D4" t="s">
        <v>61</v>
      </c>
      <c r="E4" s="26" t="s">
        <v>400</v>
      </c>
      <c r="F4" s="26" t="s">
        <v>402</v>
      </c>
      <c r="G4" s="24" t="s">
        <v>403</v>
      </c>
    </row>
    <row r="5" spans="1:7" x14ac:dyDescent="0.2">
      <c r="A5" t="s">
        <v>66</v>
      </c>
      <c r="B5" t="s">
        <v>67</v>
      </c>
      <c r="C5" t="s">
        <v>64</v>
      </c>
      <c r="D5" t="s">
        <v>65</v>
      </c>
      <c r="E5" s="26">
        <v>4</v>
      </c>
      <c r="F5" s="26">
        <v>2</v>
      </c>
      <c r="G5" s="24">
        <v>46039</v>
      </c>
    </row>
    <row r="6" spans="1:7" x14ac:dyDescent="0.2">
      <c r="A6" t="s">
        <v>69</v>
      </c>
      <c r="B6" t="s">
        <v>70</v>
      </c>
      <c r="C6" t="s">
        <v>68</v>
      </c>
      <c r="D6" t="s">
        <v>65</v>
      </c>
      <c r="E6" s="26">
        <v>2</v>
      </c>
      <c r="F6" s="26">
        <v>1</v>
      </c>
      <c r="G6" s="24">
        <v>46043</v>
      </c>
    </row>
    <row r="7" spans="1:7" x14ac:dyDescent="0.2">
      <c r="A7" t="s">
        <v>72</v>
      </c>
      <c r="B7" t="s">
        <v>73</v>
      </c>
      <c r="C7" t="s">
        <v>71</v>
      </c>
      <c r="D7" t="s">
        <v>65</v>
      </c>
      <c r="E7" s="26">
        <v>2</v>
      </c>
      <c r="F7" s="26">
        <v>1</v>
      </c>
      <c r="G7" s="24">
        <v>46044</v>
      </c>
    </row>
    <row r="8" spans="1:7" x14ac:dyDescent="0.2">
      <c r="A8" t="s">
        <v>76</v>
      </c>
      <c r="B8" t="s">
        <v>77</v>
      </c>
      <c r="C8" t="s">
        <v>74</v>
      </c>
      <c r="D8" t="s">
        <v>75</v>
      </c>
      <c r="E8" s="26">
        <v>1</v>
      </c>
      <c r="F8" s="26">
        <v>0</v>
      </c>
      <c r="G8" s="24"/>
    </row>
    <row r="9" spans="1:7" x14ac:dyDescent="0.2">
      <c r="A9" t="s">
        <v>79</v>
      </c>
      <c r="B9" t="s">
        <v>80</v>
      </c>
      <c r="C9" t="s">
        <v>78</v>
      </c>
      <c r="D9" t="s">
        <v>65</v>
      </c>
      <c r="E9" s="26">
        <v>1</v>
      </c>
      <c r="F9" s="26">
        <v>0</v>
      </c>
      <c r="G9" s="24"/>
    </row>
    <row r="10" spans="1:7" x14ac:dyDescent="0.2">
      <c r="A10" t="s">
        <v>82</v>
      </c>
      <c r="B10" t="s">
        <v>83</v>
      </c>
      <c r="C10" t="s">
        <v>81</v>
      </c>
      <c r="D10" t="s">
        <v>65</v>
      </c>
      <c r="E10" s="26">
        <v>1</v>
      </c>
      <c r="F10" s="26">
        <v>0</v>
      </c>
      <c r="G10" s="24"/>
    </row>
  </sheetData>
  <phoneticPr fontId="13" type="noConversion"/>
  <hyperlinks>
    <hyperlink ref="A3" location="'Home'!A1" display="← Back to Home" xr:uid="{8C30828C-631F-144B-84DB-A81FBFDDC6C0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sfRptRefresh">
              <controlPr defaultSize="0" print="0" autoFill="0" autoPict="0" macro="[0]!modEngine.RefreshReportFromButton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1219200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>
    <tabColor rgb="FF7C3AED"/>
    <pageSetUpPr fitToPage="1"/>
  </sheetPr>
  <dimension ref="A1:G8"/>
  <sheetViews>
    <sheetView showGridLines="0" zoomScale="90" zoomScaleNormal="90" workbookViewId="0"/>
  </sheetViews>
  <sheetFormatPr baseColWidth="10" defaultColWidth="8.83203125" defaultRowHeight="15" x14ac:dyDescent="0.2"/>
  <cols>
    <col min="1" max="1" width="12.83203125" customWidth="1"/>
    <col min="2" max="2" width="30.83203125" customWidth="1"/>
    <col min="3" max="3" width="14.83203125" customWidth="1"/>
    <col min="4" max="4" width="24.83203125" customWidth="1"/>
    <col min="5" max="5" width="14.83203125" customWidth="1"/>
    <col min="6" max="6" width="26.83203125" customWidth="1"/>
    <col min="7" max="7" width="14.83203125" customWidth="1"/>
  </cols>
  <sheetData>
    <row r="1" spans="1:7" ht="19" x14ac:dyDescent="0.25">
      <c r="A1" s="19" t="s">
        <v>202</v>
      </c>
    </row>
    <row r="2" spans="1:7" x14ac:dyDescent="0.2">
      <c r="A2" s="20" t="s">
        <v>206</v>
      </c>
    </row>
    <row r="3" spans="1:7" x14ac:dyDescent="0.2">
      <c r="A3" s="21" t="s">
        <v>32</v>
      </c>
    </row>
    <row r="4" spans="1:7" x14ac:dyDescent="0.2">
      <c r="A4" s="24" t="s">
        <v>40</v>
      </c>
      <c r="B4" t="s">
        <v>252</v>
      </c>
      <c r="C4" t="s">
        <v>63</v>
      </c>
      <c r="D4" t="s">
        <v>261</v>
      </c>
      <c r="E4" s="27" t="s">
        <v>94</v>
      </c>
      <c r="F4" t="s">
        <v>89</v>
      </c>
      <c r="G4" t="s">
        <v>93</v>
      </c>
    </row>
    <row r="5" spans="1:7" x14ac:dyDescent="0.2">
      <c r="A5" s="24">
        <v>46037</v>
      </c>
      <c r="B5" t="s">
        <v>66</v>
      </c>
      <c r="C5" t="s">
        <v>67</v>
      </c>
      <c r="D5" t="s">
        <v>105</v>
      </c>
      <c r="E5" s="27">
        <v>1500</v>
      </c>
      <c r="F5" t="s">
        <v>95</v>
      </c>
      <c r="G5" t="s">
        <v>96</v>
      </c>
    </row>
    <row r="6" spans="1:7" x14ac:dyDescent="0.2">
      <c r="A6" s="24">
        <v>46068</v>
      </c>
      <c r="B6" t="s">
        <v>66</v>
      </c>
      <c r="C6" t="s">
        <v>67</v>
      </c>
      <c r="D6" t="s">
        <v>111</v>
      </c>
      <c r="E6" s="27">
        <v>2800</v>
      </c>
      <c r="F6" t="s">
        <v>100</v>
      </c>
      <c r="G6" t="s">
        <v>96</v>
      </c>
    </row>
    <row r="7" spans="1:7" x14ac:dyDescent="0.2">
      <c r="A7" s="24">
        <v>46042</v>
      </c>
      <c r="B7" t="s">
        <v>69</v>
      </c>
      <c r="C7" t="s">
        <v>70</v>
      </c>
      <c r="D7" t="s">
        <v>108</v>
      </c>
      <c r="E7" s="27">
        <v>1800</v>
      </c>
      <c r="F7" t="s">
        <v>95</v>
      </c>
      <c r="G7" t="s">
        <v>97</v>
      </c>
    </row>
    <row r="8" spans="1:7" x14ac:dyDescent="0.2">
      <c r="A8" s="24">
        <v>46032</v>
      </c>
      <c r="B8" t="s">
        <v>72</v>
      </c>
      <c r="C8" t="s">
        <v>73</v>
      </c>
      <c r="D8" t="s">
        <v>111</v>
      </c>
      <c r="E8" s="27">
        <v>2800</v>
      </c>
      <c r="F8" t="s">
        <v>98</v>
      </c>
      <c r="G8" t="s">
        <v>99</v>
      </c>
    </row>
  </sheetData>
  <phoneticPr fontId="13" type="noConversion"/>
  <hyperlinks>
    <hyperlink ref="A3" location="'Home'!A1" display="← Back to Home" xr:uid="{42E8A2DE-E4F6-C645-99C2-E43535A3A17C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sfRptRefresh">
              <controlPr defaultSize="0" print="0" autoFill="0" autoPict="0" macro="[0]!modEngine.RefreshReportFromButton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>
    <tabColor rgb="FF7C3AED"/>
    <pageSetUpPr fitToPage="1"/>
  </sheetPr>
  <dimension ref="A1:G8"/>
  <sheetViews>
    <sheetView showGridLines="0" zoomScale="90" zoomScaleNormal="90" workbookViewId="0"/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30.83203125" customWidth="1"/>
    <col min="4" max="6" width="14.83203125" customWidth="1"/>
    <col min="7" max="7" width="24.83203125" customWidth="1"/>
  </cols>
  <sheetData>
    <row r="1" spans="1:7" ht="19" x14ac:dyDescent="0.25">
      <c r="A1" s="19" t="s">
        <v>207</v>
      </c>
    </row>
    <row r="2" spans="1:7" x14ac:dyDescent="0.2">
      <c r="A2" s="20" t="s">
        <v>211</v>
      </c>
    </row>
    <row r="3" spans="1:7" x14ac:dyDescent="0.2">
      <c r="A3" s="21" t="s">
        <v>32</v>
      </c>
    </row>
    <row r="4" spans="1:7" x14ac:dyDescent="0.2">
      <c r="A4" s="24" t="s">
        <v>40</v>
      </c>
      <c r="B4" t="s">
        <v>404</v>
      </c>
      <c r="C4" t="s">
        <v>252</v>
      </c>
      <c r="D4" t="s">
        <v>63</v>
      </c>
      <c r="E4" s="27" t="s">
        <v>94</v>
      </c>
      <c r="F4" t="s">
        <v>93</v>
      </c>
      <c r="G4" t="s">
        <v>89</v>
      </c>
    </row>
    <row r="5" spans="1:7" x14ac:dyDescent="0.2">
      <c r="A5" s="24">
        <v>46037</v>
      </c>
      <c r="B5" t="s">
        <v>405</v>
      </c>
      <c r="C5" t="s">
        <v>66</v>
      </c>
      <c r="D5" t="s">
        <v>67</v>
      </c>
      <c r="E5" s="27">
        <v>1500</v>
      </c>
      <c r="F5" t="s">
        <v>96</v>
      </c>
      <c r="G5" t="s">
        <v>95</v>
      </c>
    </row>
    <row r="6" spans="1:7" x14ac:dyDescent="0.2">
      <c r="A6" s="24">
        <v>46068</v>
      </c>
      <c r="B6" t="s">
        <v>406</v>
      </c>
      <c r="C6" t="s">
        <v>66</v>
      </c>
      <c r="D6" t="s">
        <v>67</v>
      </c>
      <c r="E6" s="27">
        <v>2800</v>
      </c>
      <c r="F6" t="s">
        <v>96</v>
      </c>
      <c r="G6" t="s">
        <v>100</v>
      </c>
    </row>
    <row r="7" spans="1:7" x14ac:dyDescent="0.2">
      <c r="A7" s="24">
        <v>46042</v>
      </c>
      <c r="B7" t="s">
        <v>407</v>
      </c>
      <c r="C7" t="s">
        <v>69</v>
      </c>
      <c r="D7" t="s">
        <v>70</v>
      </c>
      <c r="E7" s="27">
        <v>1800</v>
      </c>
      <c r="F7" t="s">
        <v>97</v>
      </c>
      <c r="G7" t="s">
        <v>95</v>
      </c>
    </row>
    <row r="8" spans="1:7" x14ac:dyDescent="0.2">
      <c r="A8" s="24">
        <v>46032</v>
      </c>
      <c r="B8" t="s">
        <v>408</v>
      </c>
      <c r="C8" t="s">
        <v>72</v>
      </c>
      <c r="D8" t="s">
        <v>73</v>
      </c>
      <c r="E8" s="27">
        <v>2800</v>
      </c>
      <c r="F8" t="s">
        <v>99</v>
      </c>
      <c r="G8" t="s">
        <v>98</v>
      </c>
    </row>
  </sheetData>
  <phoneticPr fontId="13" type="noConversion"/>
  <hyperlinks>
    <hyperlink ref="A3" location="'Home'!A1" display="← Back to Home" xr:uid="{BBB089D4-E542-3440-963E-EF99CBBFD6F6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sfRptRefresh">
              <controlPr defaultSize="0" print="0" autoFill="0" autoPict="0" macro="[0]!modEngine.RefreshReportFromButton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1219200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>
    <tabColor rgb="FF7C3AED"/>
    <pageSetUpPr fitToPage="1"/>
  </sheetPr>
  <dimension ref="A1:H15"/>
  <sheetViews>
    <sheetView showGridLines="0" zoomScale="90" zoomScaleNormal="90" workbookViewId="0"/>
  </sheetViews>
  <sheetFormatPr baseColWidth="10" defaultColWidth="8.83203125" defaultRowHeight="15" x14ac:dyDescent="0.2"/>
  <cols>
    <col min="1" max="1" width="30.83203125" customWidth="1"/>
    <col min="2" max="2" width="14.83203125" customWidth="1"/>
    <col min="3" max="3" width="24.83203125" customWidth="1"/>
    <col min="4" max="4" width="14.83203125" customWidth="1"/>
    <col min="5" max="5" width="16.83203125" customWidth="1"/>
    <col min="6" max="8" width="14.83203125" customWidth="1"/>
  </cols>
  <sheetData>
    <row r="1" spans="1:8" ht="19" x14ac:dyDescent="0.25">
      <c r="A1" s="19" t="s">
        <v>212</v>
      </c>
    </row>
    <row r="2" spans="1:8" x14ac:dyDescent="0.2">
      <c r="A2" s="20" t="s">
        <v>216</v>
      </c>
    </row>
    <row r="3" spans="1:8" x14ac:dyDescent="0.2">
      <c r="A3" s="21" t="s">
        <v>32</v>
      </c>
    </row>
    <row r="4" spans="1:8" x14ac:dyDescent="0.2">
      <c r="A4" t="s">
        <v>252</v>
      </c>
      <c r="B4" t="s">
        <v>63</v>
      </c>
      <c r="C4" t="s">
        <v>261</v>
      </c>
      <c r="D4" s="27" t="s">
        <v>102</v>
      </c>
      <c r="E4" s="26" t="s">
        <v>101</v>
      </c>
      <c r="F4" s="24" t="s">
        <v>85</v>
      </c>
      <c r="G4" s="24" t="s">
        <v>84</v>
      </c>
      <c r="H4" t="s">
        <v>61</v>
      </c>
    </row>
    <row r="5" spans="1:8" x14ac:dyDescent="0.2">
      <c r="A5" t="s">
        <v>66</v>
      </c>
      <c r="B5" t="s">
        <v>67</v>
      </c>
      <c r="C5" t="s">
        <v>105</v>
      </c>
      <c r="D5" s="27">
        <v>1500</v>
      </c>
      <c r="E5" s="26">
        <v>30</v>
      </c>
      <c r="F5" s="24">
        <v>46037</v>
      </c>
      <c r="G5" s="24">
        <v>46067</v>
      </c>
      <c r="H5" t="s">
        <v>44</v>
      </c>
    </row>
    <row r="6" spans="1:8" x14ac:dyDescent="0.2">
      <c r="A6" t="s">
        <v>66</v>
      </c>
      <c r="B6" t="s">
        <v>67</v>
      </c>
      <c r="C6" t="s">
        <v>105</v>
      </c>
      <c r="D6" s="27">
        <v>1500</v>
      </c>
      <c r="E6" s="26">
        <v>30</v>
      </c>
      <c r="F6" s="24">
        <v>46155</v>
      </c>
      <c r="G6" s="24">
        <v>46185</v>
      </c>
      <c r="H6" t="s">
        <v>44</v>
      </c>
    </row>
    <row r="7" spans="1:8" x14ac:dyDescent="0.2">
      <c r="A7" t="s">
        <v>66</v>
      </c>
      <c r="B7" t="s">
        <v>67</v>
      </c>
      <c r="C7" t="s">
        <v>111</v>
      </c>
      <c r="D7" s="27">
        <v>2800</v>
      </c>
      <c r="E7" s="26">
        <v>30</v>
      </c>
      <c r="F7" s="24">
        <v>46068</v>
      </c>
      <c r="G7" s="24">
        <v>46095</v>
      </c>
      <c r="H7" t="s">
        <v>44</v>
      </c>
    </row>
    <row r="8" spans="1:8" x14ac:dyDescent="0.2">
      <c r="A8" t="s">
        <v>69</v>
      </c>
      <c r="B8" t="s">
        <v>70</v>
      </c>
      <c r="C8" t="s">
        <v>108</v>
      </c>
      <c r="D8" s="27">
        <v>1800</v>
      </c>
      <c r="E8" s="26">
        <v>30</v>
      </c>
      <c r="F8" s="24">
        <v>46042</v>
      </c>
      <c r="G8" s="24">
        <v>46072</v>
      </c>
      <c r="H8" t="s">
        <v>44</v>
      </c>
    </row>
    <row r="9" spans="1:8" x14ac:dyDescent="0.2">
      <c r="A9" t="s">
        <v>69</v>
      </c>
      <c r="B9" t="s">
        <v>70</v>
      </c>
      <c r="C9" t="s">
        <v>108</v>
      </c>
      <c r="D9" s="27">
        <v>1800</v>
      </c>
      <c r="E9" s="26">
        <v>30</v>
      </c>
      <c r="F9" s="24">
        <v>46160</v>
      </c>
      <c r="G9" s="24">
        <v>46190</v>
      </c>
      <c r="H9" t="s">
        <v>44</v>
      </c>
    </row>
    <row r="10" spans="1:8" x14ac:dyDescent="0.2">
      <c r="A10" t="s">
        <v>72</v>
      </c>
      <c r="B10" t="s">
        <v>73</v>
      </c>
      <c r="C10" t="s">
        <v>111</v>
      </c>
      <c r="D10" s="27">
        <v>2800</v>
      </c>
      <c r="E10" s="26">
        <v>30</v>
      </c>
      <c r="F10" s="24">
        <v>46032</v>
      </c>
      <c r="G10" s="24">
        <v>46062</v>
      </c>
      <c r="H10" t="s">
        <v>88</v>
      </c>
    </row>
    <row r="11" spans="1:8" x14ac:dyDescent="0.2">
      <c r="A11" t="s">
        <v>72</v>
      </c>
      <c r="B11" t="s">
        <v>73</v>
      </c>
      <c r="C11" t="s">
        <v>111</v>
      </c>
      <c r="D11" s="27">
        <v>2800</v>
      </c>
      <c r="E11" s="26">
        <v>30</v>
      </c>
      <c r="F11" s="24">
        <v>46162</v>
      </c>
      <c r="G11" s="24">
        <v>46192</v>
      </c>
      <c r="H11" t="s">
        <v>44</v>
      </c>
    </row>
    <row r="12" spans="1:8" x14ac:dyDescent="0.2">
      <c r="A12" t="s">
        <v>76</v>
      </c>
      <c r="B12" t="s">
        <v>77</v>
      </c>
      <c r="C12" t="s">
        <v>105</v>
      </c>
      <c r="D12" s="27">
        <v>1500</v>
      </c>
      <c r="E12" s="26">
        <v>30</v>
      </c>
      <c r="F12" s="24">
        <v>46165</v>
      </c>
      <c r="G12" s="24">
        <v>46195</v>
      </c>
      <c r="H12" t="s">
        <v>44</v>
      </c>
    </row>
    <row r="13" spans="1:8" x14ac:dyDescent="0.2">
      <c r="A13" t="s">
        <v>66</v>
      </c>
      <c r="B13" t="s">
        <v>67</v>
      </c>
      <c r="C13" t="s">
        <v>108</v>
      </c>
      <c r="D13" s="27">
        <v>1800</v>
      </c>
      <c r="E13" s="26">
        <v>30</v>
      </c>
      <c r="F13" s="24">
        <v>46130</v>
      </c>
      <c r="G13" s="24">
        <v>46160</v>
      </c>
      <c r="H13" t="s">
        <v>88</v>
      </c>
    </row>
    <row r="14" spans="1:8" x14ac:dyDescent="0.2">
      <c r="A14" t="s">
        <v>79</v>
      </c>
      <c r="B14" t="s">
        <v>80</v>
      </c>
      <c r="C14" t="s">
        <v>105</v>
      </c>
      <c r="D14" s="27">
        <v>1500</v>
      </c>
      <c r="E14" s="26">
        <v>30</v>
      </c>
      <c r="F14" s="24">
        <v>46188</v>
      </c>
      <c r="G14" s="24">
        <v>46218</v>
      </c>
      <c r="H14" t="s">
        <v>44</v>
      </c>
    </row>
    <row r="15" spans="1:8" x14ac:dyDescent="0.2">
      <c r="A15" t="s">
        <v>82</v>
      </c>
      <c r="B15" t="s">
        <v>83</v>
      </c>
      <c r="C15" t="s">
        <v>105</v>
      </c>
      <c r="D15" s="27">
        <v>1500</v>
      </c>
      <c r="E15" s="26">
        <v>30</v>
      </c>
      <c r="F15" s="24">
        <v>46188</v>
      </c>
      <c r="G15" s="24">
        <v>46218</v>
      </c>
      <c r="H15" t="s">
        <v>44</v>
      </c>
    </row>
  </sheetData>
  <phoneticPr fontId="13" type="noConversion"/>
  <hyperlinks>
    <hyperlink ref="A3" location="'Home'!A1" display="← Back to Home" xr:uid="{478710D0-7118-D14E-B0C8-86ECD1146D48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sfRptRefresh">
              <controlPr defaultSize="0" print="0" autoFill="0" autoPict="0" macro="[0]!modEngine.RefreshReportFromButton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>
    <tabColor rgb="FF7C3AED"/>
    <pageSetUpPr fitToPage="1"/>
  </sheetPr>
  <dimension ref="A1:H13"/>
  <sheetViews>
    <sheetView showGridLines="0" zoomScale="90" zoomScaleNormal="90" workbookViewId="0"/>
  </sheetViews>
  <sheetFormatPr baseColWidth="10" defaultColWidth="8.83203125" defaultRowHeight="15" x14ac:dyDescent="0.2"/>
  <cols>
    <col min="1" max="1" width="30.83203125" customWidth="1"/>
    <col min="2" max="2" width="14.83203125" customWidth="1"/>
    <col min="3" max="3" width="24.83203125" customWidth="1"/>
    <col min="4" max="8" width="14.83203125" customWidth="1"/>
  </cols>
  <sheetData>
    <row r="1" spans="1:8" ht="19" x14ac:dyDescent="0.25">
      <c r="A1" s="19" t="s">
        <v>217</v>
      </c>
    </row>
    <row r="2" spans="1:8" x14ac:dyDescent="0.2">
      <c r="A2" s="20" t="s">
        <v>221</v>
      </c>
    </row>
    <row r="3" spans="1:8" x14ac:dyDescent="0.2">
      <c r="A3" s="21" t="s">
        <v>32</v>
      </c>
    </row>
    <row r="4" spans="1:8" x14ac:dyDescent="0.2">
      <c r="A4" t="s">
        <v>252</v>
      </c>
      <c r="B4" t="s">
        <v>63</v>
      </c>
      <c r="C4" t="s">
        <v>261</v>
      </c>
      <c r="D4" s="27" t="s">
        <v>102</v>
      </c>
      <c r="E4" s="27" t="s">
        <v>409</v>
      </c>
      <c r="F4" s="27" t="s">
        <v>410</v>
      </c>
      <c r="G4" t="s">
        <v>61</v>
      </c>
      <c r="H4" s="24" t="s">
        <v>84</v>
      </c>
    </row>
    <row r="5" spans="1:8" x14ac:dyDescent="0.2">
      <c r="A5" t="s">
        <v>66</v>
      </c>
      <c r="B5" t="s">
        <v>67</v>
      </c>
      <c r="C5" t="s">
        <v>105</v>
      </c>
      <c r="D5" s="27">
        <v>1500</v>
      </c>
      <c r="E5" s="27">
        <v>1500</v>
      </c>
      <c r="F5" s="27">
        <v>0</v>
      </c>
      <c r="G5" t="s">
        <v>44</v>
      </c>
      <c r="H5" s="24">
        <v>46067</v>
      </c>
    </row>
    <row r="6" spans="1:8" x14ac:dyDescent="0.2">
      <c r="A6" t="s">
        <v>66</v>
      </c>
      <c r="B6" t="s">
        <v>67</v>
      </c>
      <c r="C6" t="s">
        <v>105</v>
      </c>
      <c r="D6" s="27">
        <v>1500</v>
      </c>
      <c r="E6" s="27">
        <v>0</v>
      </c>
      <c r="F6" s="27">
        <v>1500</v>
      </c>
      <c r="G6" t="s">
        <v>44</v>
      </c>
      <c r="H6" s="24">
        <v>46185</v>
      </c>
    </row>
    <row r="7" spans="1:8" x14ac:dyDescent="0.2">
      <c r="A7" t="s">
        <v>69</v>
      </c>
      <c r="B7" t="s">
        <v>70</v>
      </c>
      <c r="C7" t="s">
        <v>108</v>
      </c>
      <c r="D7" s="27">
        <v>1800</v>
      </c>
      <c r="E7" s="27">
        <v>1800</v>
      </c>
      <c r="F7" s="27">
        <v>0</v>
      </c>
      <c r="G7" t="s">
        <v>44</v>
      </c>
      <c r="H7" s="24">
        <v>46072</v>
      </c>
    </row>
    <row r="8" spans="1:8" x14ac:dyDescent="0.2">
      <c r="A8" t="s">
        <v>66</v>
      </c>
      <c r="B8" t="s">
        <v>67</v>
      </c>
      <c r="C8" t="s">
        <v>111</v>
      </c>
      <c r="D8" s="27">
        <v>2800</v>
      </c>
      <c r="E8" s="27">
        <v>2800</v>
      </c>
      <c r="F8" s="27">
        <v>0</v>
      </c>
      <c r="G8" t="s">
        <v>44</v>
      </c>
      <c r="H8" s="24">
        <v>46095</v>
      </c>
    </row>
    <row r="9" spans="1:8" x14ac:dyDescent="0.2">
      <c r="A9" t="s">
        <v>69</v>
      </c>
      <c r="B9" t="s">
        <v>70</v>
      </c>
      <c r="C9" t="s">
        <v>108</v>
      </c>
      <c r="D9" s="27">
        <v>1800</v>
      </c>
      <c r="E9" s="27">
        <v>0</v>
      </c>
      <c r="F9" s="27">
        <v>1800</v>
      </c>
      <c r="G9" t="s">
        <v>44</v>
      </c>
      <c r="H9" s="24">
        <v>46190</v>
      </c>
    </row>
    <row r="10" spans="1:8" x14ac:dyDescent="0.2">
      <c r="A10" t="s">
        <v>72</v>
      </c>
      <c r="B10" t="s">
        <v>73</v>
      </c>
      <c r="C10" t="s">
        <v>111</v>
      </c>
      <c r="D10" s="27">
        <v>2800</v>
      </c>
      <c r="E10" s="27">
        <v>0</v>
      </c>
      <c r="F10" s="27">
        <v>2800</v>
      </c>
      <c r="G10" t="s">
        <v>44</v>
      </c>
      <c r="H10" s="24">
        <v>46192</v>
      </c>
    </row>
    <row r="11" spans="1:8" x14ac:dyDescent="0.2">
      <c r="A11" t="s">
        <v>76</v>
      </c>
      <c r="B11" t="s">
        <v>77</v>
      </c>
      <c r="C11" t="s">
        <v>105</v>
      </c>
      <c r="D11" s="27">
        <v>1500</v>
      </c>
      <c r="E11" s="27">
        <v>0</v>
      </c>
      <c r="F11" s="27">
        <v>1500</v>
      </c>
      <c r="G11" t="s">
        <v>44</v>
      </c>
      <c r="H11" s="24">
        <v>46195</v>
      </c>
    </row>
    <row r="12" spans="1:8" x14ac:dyDescent="0.2">
      <c r="A12" t="s">
        <v>79</v>
      </c>
      <c r="B12" t="s">
        <v>80</v>
      </c>
      <c r="C12" t="s">
        <v>105</v>
      </c>
      <c r="D12" s="27">
        <v>1500</v>
      </c>
      <c r="E12" s="27">
        <v>0</v>
      </c>
      <c r="F12" s="27">
        <v>1500</v>
      </c>
      <c r="G12" t="s">
        <v>44</v>
      </c>
      <c r="H12" s="24">
        <v>46218</v>
      </c>
    </row>
    <row r="13" spans="1:8" x14ac:dyDescent="0.2">
      <c r="A13" t="s">
        <v>82</v>
      </c>
      <c r="B13" t="s">
        <v>83</v>
      </c>
      <c r="C13" t="s">
        <v>105</v>
      </c>
      <c r="D13" s="27">
        <v>1500</v>
      </c>
      <c r="E13" s="27">
        <v>0</v>
      </c>
      <c r="F13" s="27">
        <v>1500</v>
      </c>
      <c r="G13" t="s">
        <v>44</v>
      </c>
      <c r="H13" s="24">
        <v>46218</v>
      </c>
    </row>
  </sheetData>
  <phoneticPr fontId="13" type="noConversion"/>
  <hyperlinks>
    <hyperlink ref="A3" location="'Home'!A1" display="← Back to Home" xr:uid="{8B7F335C-8A38-4F48-8B06-E2EF95416826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sfRptRefresh">
              <controlPr defaultSize="0" print="0" autoFill="0" autoPict="0" macro="[0]!modEngine.RefreshReportFromButton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rgb="FF7C3AED"/>
    <pageSetUpPr fitToPage="1"/>
  </sheetPr>
  <dimension ref="A1:I13"/>
  <sheetViews>
    <sheetView showGridLines="0" zoomScale="90" zoomScaleNormal="90" workbookViewId="0"/>
  </sheetViews>
  <sheetFormatPr baseColWidth="10" defaultColWidth="8.83203125" defaultRowHeight="15" x14ac:dyDescent="0.2"/>
  <cols>
    <col min="1" max="1" width="30.83203125" customWidth="1"/>
    <col min="2" max="2" width="14.83203125" customWidth="1"/>
    <col min="3" max="3" width="26.83203125" customWidth="1"/>
    <col min="4" max="4" width="24.83203125" customWidth="1"/>
    <col min="5" max="6" width="14.83203125" customWidth="1"/>
    <col min="7" max="7" width="10.83203125" customWidth="1"/>
    <col min="8" max="8" width="32.83203125" customWidth="1"/>
    <col min="9" max="9" width="14.83203125" customWidth="1"/>
  </cols>
  <sheetData>
    <row r="1" spans="1:9" ht="19" x14ac:dyDescent="0.25">
      <c r="A1" s="19" t="s">
        <v>226</v>
      </c>
    </row>
    <row r="2" spans="1:9" x14ac:dyDescent="0.2">
      <c r="A2" s="20" t="s">
        <v>227</v>
      </c>
    </row>
    <row r="3" spans="1:9" x14ac:dyDescent="0.2">
      <c r="A3" s="21" t="s">
        <v>32</v>
      </c>
    </row>
    <row r="4" spans="1:9" x14ac:dyDescent="0.2">
      <c r="A4" t="s">
        <v>252</v>
      </c>
      <c r="B4" t="s">
        <v>63</v>
      </c>
      <c r="C4" t="s">
        <v>60</v>
      </c>
      <c r="D4" t="s">
        <v>261</v>
      </c>
      <c r="E4" s="24" t="s">
        <v>85</v>
      </c>
      <c r="F4" s="24" t="s">
        <v>84</v>
      </c>
      <c r="G4" s="26" t="s">
        <v>411</v>
      </c>
      <c r="H4" t="s">
        <v>412</v>
      </c>
      <c r="I4" t="s">
        <v>61</v>
      </c>
    </row>
    <row r="5" spans="1:9" x14ac:dyDescent="0.2">
      <c r="A5" t="s">
        <v>66</v>
      </c>
      <c r="B5" t="s">
        <v>67</v>
      </c>
      <c r="C5" t="s">
        <v>64</v>
      </c>
      <c r="D5" t="s">
        <v>105</v>
      </c>
      <c r="E5" s="24">
        <v>46037</v>
      </c>
      <c r="F5" s="24">
        <v>46067</v>
      </c>
      <c r="G5" s="26">
        <v>-125</v>
      </c>
      <c r="I5" t="s">
        <v>44</v>
      </c>
    </row>
    <row r="6" spans="1:9" x14ac:dyDescent="0.2">
      <c r="A6" t="s">
        <v>66</v>
      </c>
      <c r="B6" t="s">
        <v>67</v>
      </c>
      <c r="C6" t="s">
        <v>64</v>
      </c>
      <c r="D6" t="s">
        <v>111</v>
      </c>
      <c r="E6" s="24">
        <v>46068</v>
      </c>
      <c r="F6" s="24">
        <v>46095</v>
      </c>
      <c r="G6" s="26">
        <v>-97</v>
      </c>
      <c r="I6" t="s">
        <v>44</v>
      </c>
    </row>
    <row r="7" spans="1:9" x14ac:dyDescent="0.2">
      <c r="A7" t="s">
        <v>66</v>
      </c>
      <c r="B7" t="s">
        <v>67</v>
      </c>
      <c r="C7" t="s">
        <v>64</v>
      </c>
      <c r="D7" t="s">
        <v>105</v>
      </c>
      <c r="E7" s="24">
        <v>46155</v>
      </c>
      <c r="F7" s="24">
        <v>46185</v>
      </c>
      <c r="G7" s="26">
        <v>-7</v>
      </c>
      <c r="I7" t="s">
        <v>44</v>
      </c>
    </row>
    <row r="8" spans="1:9" x14ac:dyDescent="0.2">
      <c r="A8" t="s">
        <v>69</v>
      </c>
      <c r="B8" t="s">
        <v>70</v>
      </c>
      <c r="C8" t="s">
        <v>68</v>
      </c>
      <c r="D8" t="s">
        <v>108</v>
      </c>
      <c r="E8" s="24">
        <v>46042</v>
      </c>
      <c r="F8" s="24">
        <v>46072</v>
      </c>
      <c r="G8" s="26">
        <v>-120</v>
      </c>
      <c r="I8" t="s">
        <v>44</v>
      </c>
    </row>
    <row r="9" spans="1:9" x14ac:dyDescent="0.2">
      <c r="A9" t="s">
        <v>69</v>
      </c>
      <c r="B9" t="s">
        <v>70</v>
      </c>
      <c r="C9" t="s">
        <v>68</v>
      </c>
      <c r="D9" t="s">
        <v>108</v>
      </c>
      <c r="E9" s="24">
        <v>46160</v>
      </c>
      <c r="F9" s="24">
        <v>46190</v>
      </c>
      <c r="G9" s="26">
        <v>-2</v>
      </c>
      <c r="I9" t="s">
        <v>44</v>
      </c>
    </row>
    <row r="10" spans="1:9" x14ac:dyDescent="0.2">
      <c r="A10" t="s">
        <v>72</v>
      </c>
      <c r="B10" t="s">
        <v>73</v>
      </c>
      <c r="C10" t="s">
        <v>71</v>
      </c>
      <c r="D10" t="s">
        <v>111</v>
      </c>
      <c r="E10" s="24">
        <v>46032</v>
      </c>
      <c r="F10" s="24">
        <v>46062</v>
      </c>
      <c r="G10" s="26">
        <v>-130</v>
      </c>
      <c r="I10" t="s">
        <v>88</v>
      </c>
    </row>
    <row r="11" spans="1:9" x14ac:dyDescent="0.2">
      <c r="A11" t="s">
        <v>72</v>
      </c>
      <c r="B11" t="s">
        <v>73</v>
      </c>
      <c r="C11" t="s">
        <v>71</v>
      </c>
      <c r="D11" t="s">
        <v>111</v>
      </c>
      <c r="E11" s="24">
        <v>46162</v>
      </c>
      <c r="F11" s="24">
        <v>46192</v>
      </c>
      <c r="G11" s="26">
        <v>0</v>
      </c>
      <c r="H11" t="s">
        <v>413</v>
      </c>
      <c r="I11" t="s">
        <v>44</v>
      </c>
    </row>
    <row r="12" spans="1:9" x14ac:dyDescent="0.2">
      <c r="A12" t="s">
        <v>76</v>
      </c>
      <c r="B12" t="s">
        <v>77</v>
      </c>
      <c r="C12" t="s">
        <v>74</v>
      </c>
      <c r="D12" t="s">
        <v>105</v>
      </c>
      <c r="E12" s="24">
        <v>46165</v>
      </c>
      <c r="F12" s="24">
        <v>46195</v>
      </c>
      <c r="G12" s="26">
        <v>3</v>
      </c>
      <c r="H12" t="s">
        <v>414</v>
      </c>
      <c r="I12" t="s">
        <v>44</v>
      </c>
    </row>
    <row r="13" spans="1:9" x14ac:dyDescent="0.2">
      <c r="A13" t="s">
        <v>66</v>
      </c>
      <c r="B13" t="s">
        <v>67</v>
      </c>
      <c r="C13" t="s">
        <v>64</v>
      </c>
      <c r="D13" t="s">
        <v>108</v>
      </c>
      <c r="E13" s="24">
        <v>46130</v>
      </c>
      <c r="F13" s="24">
        <v>46160</v>
      </c>
      <c r="G13" s="26">
        <v>-32</v>
      </c>
      <c r="I13" t="s">
        <v>88</v>
      </c>
    </row>
  </sheetData>
  <phoneticPr fontId="13" type="noConversion"/>
  <hyperlinks>
    <hyperlink ref="A3" location="'Home'!A1" display="← Back to Home" xr:uid="{B41E8612-600A-3A4A-94C7-E8A2D7B78CB2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sfRptRefresh">
              <controlPr defaultSize="0" print="0" autoFill="0" autoPict="0" macro="[0]!modEngine.RefreshReportFromButton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457200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>
    <tabColor rgb="FF7C3AED"/>
    <pageSetUpPr fitToPage="1"/>
  </sheetPr>
  <dimension ref="A1:H8"/>
  <sheetViews>
    <sheetView showGridLines="0" zoomScale="90" zoomScaleNormal="90" workbookViewId="0"/>
  </sheetViews>
  <sheetFormatPr baseColWidth="10" defaultColWidth="8.83203125" defaultRowHeight="15" x14ac:dyDescent="0.2"/>
  <cols>
    <col min="1" max="1" width="12.83203125" customWidth="1"/>
    <col min="2" max="2" width="30.83203125" customWidth="1"/>
    <col min="3" max="3" width="14.83203125" customWidth="1"/>
    <col min="4" max="4" width="26.83203125" customWidth="1"/>
    <col min="5" max="5" width="24.83203125" customWidth="1"/>
    <col min="6" max="7" width="14.83203125" customWidth="1"/>
    <col min="8" max="8" width="24.83203125" customWidth="1"/>
  </cols>
  <sheetData>
    <row r="1" spans="1:8" ht="19" x14ac:dyDescent="0.25">
      <c r="A1" s="19" t="s">
        <v>228</v>
      </c>
    </row>
    <row r="2" spans="1:8" x14ac:dyDescent="0.2">
      <c r="A2" s="20" t="s">
        <v>232</v>
      </c>
    </row>
    <row r="3" spans="1:8" x14ac:dyDescent="0.2">
      <c r="A3" s="21" t="s">
        <v>32</v>
      </c>
    </row>
    <row r="4" spans="1:8" x14ac:dyDescent="0.2">
      <c r="A4" s="24" t="s">
        <v>40</v>
      </c>
      <c r="B4" t="s">
        <v>252</v>
      </c>
      <c r="C4" t="s">
        <v>63</v>
      </c>
      <c r="D4" t="s">
        <v>60</v>
      </c>
      <c r="E4" t="s">
        <v>261</v>
      </c>
      <c r="F4" s="27" t="s">
        <v>94</v>
      </c>
      <c r="G4" t="s">
        <v>93</v>
      </c>
      <c r="H4" t="s">
        <v>89</v>
      </c>
    </row>
    <row r="5" spans="1:8" x14ac:dyDescent="0.2">
      <c r="A5" s="24">
        <v>46037</v>
      </c>
      <c r="B5" t="s">
        <v>66</v>
      </c>
      <c r="C5" t="s">
        <v>67</v>
      </c>
      <c r="D5" t="s">
        <v>64</v>
      </c>
      <c r="E5" t="s">
        <v>105</v>
      </c>
      <c r="F5" s="27">
        <v>1500</v>
      </c>
      <c r="G5" t="s">
        <v>96</v>
      </c>
      <c r="H5" t="s">
        <v>95</v>
      </c>
    </row>
    <row r="6" spans="1:8" x14ac:dyDescent="0.2">
      <c r="A6" s="24">
        <v>46068</v>
      </c>
      <c r="B6" t="s">
        <v>66</v>
      </c>
      <c r="C6" t="s">
        <v>67</v>
      </c>
      <c r="D6" t="s">
        <v>64</v>
      </c>
      <c r="E6" t="s">
        <v>111</v>
      </c>
      <c r="F6" s="27">
        <v>2800</v>
      </c>
      <c r="G6" t="s">
        <v>96</v>
      </c>
      <c r="H6" t="s">
        <v>100</v>
      </c>
    </row>
    <row r="7" spans="1:8" x14ac:dyDescent="0.2">
      <c r="A7" s="24">
        <v>46042</v>
      </c>
      <c r="B7" t="s">
        <v>69</v>
      </c>
      <c r="C7" t="s">
        <v>70</v>
      </c>
      <c r="D7" t="s">
        <v>68</v>
      </c>
      <c r="E7" t="s">
        <v>108</v>
      </c>
      <c r="F7" s="27">
        <v>1800</v>
      </c>
      <c r="G7" t="s">
        <v>97</v>
      </c>
      <c r="H7" t="s">
        <v>95</v>
      </c>
    </row>
    <row r="8" spans="1:8" x14ac:dyDescent="0.2">
      <c r="A8" s="24">
        <v>46032</v>
      </c>
      <c r="B8" t="s">
        <v>72</v>
      </c>
      <c r="C8" t="s">
        <v>73</v>
      </c>
      <c r="D8" t="s">
        <v>71</v>
      </c>
      <c r="E8" t="s">
        <v>111</v>
      </c>
      <c r="F8" s="27">
        <v>2800</v>
      </c>
      <c r="G8" t="s">
        <v>99</v>
      </c>
      <c r="H8" t="s">
        <v>98</v>
      </c>
    </row>
  </sheetData>
  <phoneticPr fontId="13" type="noConversion"/>
  <hyperlinks>
    <hyperlink ref="A3" location="'Home'!A1" display="← Back to Home" xr:uid="{87E993AB-F7D0-D24F-A0CB-EDD5BD4C714E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sfRptRefresh">
              <controlPr defaultSize="0" print="0" autoFill="0" autoPict="0" macro="[0]!modEngine.RefreshReportFromButton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>
    <tabColor rgb="FF7C3AED"/>
    <pageSetUpPr fitToPage="1"/>
  </sheetPr>
  <dimension ref="B1:F38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15.83203125" bestFit="1" customWidth="1"/>
    <col min="3" max="3" width="20.33203125" bestFit="1" customWidth="1"/>
    <col min="4" max="4" width="9.5" bestFit="1" customWidth="1"/>
    <col min="5" max="5" width="12.33203125" bestFit="1" customWidth="1"/>
    <col min="6" max="6" width="11.1640625" bestFit="1" customWidth="1"/>
    <col min="7" max="12" width="18" customWidth="1"/>
  </cols>
  <sheetData>
    <row r="1" spans="2:6" ht="8" customHeight="1" x14ac:dyDescent="0.2"/>
    <row r="2" spans="2:6" ht="30" customHeight="1" x14ac:dyDescent="0.35">
      <c r="B2" s="13" t="s">
        <v>24</v>
      </c>
    </row>
    <row r="3" spans="2:6" x14ac:dyDescent="0.2">
      <c r="B3" s="5" t="s">
        <v>127</v>
      </c>
    </row>
    <row r="5" spans="2:6" ht="22" customHeight="1" x14ac:dyDescent="0.2">
      <c r="B5" s="10" t="s">
        <v>128</v>
      </c>
    </row>
    <row r="6" spans="2:6" x14ac:dyDescent="0.2">
      <c r="B6" s="5" t="s">
        <v>129</v>
      </c>
    </row>
    <row r="7" spans="2:6" x14ac:dyDescent="0.2">
      <c r="B7" s="22" t="s">
        <v>391</v>
      </c>
      <c r="C7" s="22" t="s">
        <v>387</v>
      </c>
    </row>
    <row r="8" spans="2:6" x14ac:dyDescent="0.2">
      <c r="B8" s="22" t="s">
        <v>388</v>
      </c>
      <c r="C8" t="s">
        <v>66</v>
      </c>
      <c r="D8" t="s">
        <v>69</v>
      </c>
      <c r="E8" t="s">
        <v>72</v>
      </c>
      <c r="F8" t="s">
        <v>389</v>
      </c>
    </row>
    <row r="9" spans="2:6" x14ac:dyDescent="0.2">
      <c r="B9" s="23" t="s">
        <v>52</v>
      </c>
      <c r="C9" s="25">
        <v>2</v>
      </c>
      <c r="D9" s="25"/>
      <c r="E9" s="25"/>
      <c r="F9" s="25">
        <v>2</v>
      </c>
    </row>
    <row r="10" spans="2:6" x14ac:dyDescent="0.2">
      <c r="B10" s="23" t="s">
        <v>54</v>
      </c>
      <c r="C10" s="25"/>
      <c r="D10" s="25">
        <v>1</v>
      </c>
      <c r="E10" s="25"/>
      <c r="F10" s="25">
        <v>1</v>
      </c>
    </row>
    <row r="11" spans="2:6" x14ac:dyDescent="0.2">
      <c r="B11" s="23" t="s">
        <v>56</v>
      </c>
      <c r="C11" s="25"/>
      <c r="D11" s="25"/>
      <c r="E11" s="25">
        <v>0</v>
      </c>
      <c r="F11" s="25">
        <v>0</v>
      </c>
    </row>
    <row r="12" spans="2:6" x14ac:dyDescent="0.2">
      <c r="B12" s="23" t="s">
        <v>389</v>
      </c>
      <c r="C12" s="25">
        <v>2</v>
      </c>
      <c r="D12" s="25">
        <v>1</v>
      </c>
      <c r="E12" s="25">
        <v>0</v>
      </c>
      <c r="F12" s="25">
        <v>3</v>
      </c>
    </row>
    <row r="38" spans="2:2" x14ac:dyDescent="0.2">
      <c r="B38" s="4" t="s">
        <v>43</v>
      </c>
    </row>
  </sheetData>
  <hyperlinks>
    <hyperlink ref="B38" location="Home!A1" display="Back to Home" xr:uid="{00000000-0004-0000-1400-000000000000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rgb="FF7C3AED"/>
    <pageSetUpPr fitToPage="1"/>
  </sheetPr>
  <dimension ref="B1:C38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15.83203125" bestFit="1" customWidth="1"/>
    <col min="3" max="3" width="12.83203125" bestFit="1" customWidth="1"/>
    <col min="4" max="12" width="18" customWidth="1"/>
  </cols>
  <sheetData>
    <row r="1" spans="2:3" ht="8" customHeight="1" x14ac:dyDescent="0.2"/>
    <row r="2" spans="2:3" ht="30" customHeight="1" x14ac:dyDescent="0.35">
      <c r="B2" s="13" t="s">
        <v>25</v>
      </c>
    </row>
    <row r="3" spans="2:3" x14ac:dyDescent="0.2">
      <c r="B3" s="5" t="s">
        <v>130</v>
      </c>
    </row>
    <row r="5" spans="2:3" ht="22" customHeight="1" x14ac:dyDescent="0.2">
      <c r="B5" s="10" t="s">
        <v>131</v>
      </c>
    </row>
    <row r="6" spans="2:3" x14ac:dyDescent="0.2">
      <c r="B6" s="5" t="s">
        <v>129</v>
      </c>
    </row>
    <row r="7" spans="2:3" x14ac:dyDescent="0.2">
      <c r="B7" s="22" t="s">
        <v>388</v>
      </c>
      <c r="C7" t="s">
        <v>390</v>
      </c>
    </row>
    <row r="8" spans="2:3" x14ac:dyDescent="0.2">
      <c r="B8" s="23" t="s">
        <v>118</v>
      </c>
      <c r="C8" s="25">
        <v>1</v>
      </c>
    </row>
    <row r="9" spans="2:3" x14ac:dyDescent="0.2">
      <c r="B9" s="23" t="s">
        <v>120</v>
      </c>
      <c r="C9" s="25">
        <v>1</v>
      </c>
    </row>
    <row r="10" spans="2:3" x14ac:dyDescent="0.2">
      <c r="B10" s="23" t="s">
        <v>123</v>
      </c>
      <c r="C10" s="25">
        <v>1</v>
      </c>
    </row>
    <row r="11" spans="2:3" x14ac:dyDescent="0.2">
      <c r="B11" s="23" t="s">
        <v>125</v>
      </c>
      <c r="C11" s="25">
        <v>1</v>
      </c>
    </row>
    <row r="12" spans="2:3" x14ac:dyDescent="0.2">
      <c r="B12" s="23" t="s">
        <v>389</v>
      </c>
      <c r="C12" s="25">
        <v>4</v>
      </c>
    </row>
    <row r="38" spans="2:2" x14ac:dyDescent="0.2">
      <c r="B38" s="4" t="s">
        <v>43</v>
      </c>
    </row>
  </sheetData>
  <hyperlinks>
    <hyperlink ref="B38" location="Home!A1" display="Back to Home" xr:uid="{00000000-0004-0000-1500-000000000000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>
    <tabColor rgb="FF7C3AED"/>
    <pageSetUpPr fitToPage="1"/>
  </sheetPr>
  <dimension ref="B1:G38"/>
  <sheetViews>
    <sheetView showGridLines="0" topLeftCell="A23" zoomScale="90" zoomScaleNormal="90" workbookViewId="0">
      <selection activeCell="B38" sqref="B38"/>
    </sheetView>
  </sheetViews>
  <sheetFormatPr baseColWidth="10" defaultColWidth="8.83203125" defaultRowHeight="15" x14ac:dyDescent="0.2"/>
  <cols>
    <col min="1" max="1" width="3" customWidth="1"/>
    <col min="2" max="2" width="15.83203125" bestFit="1" customWidth="1"/>
    <col min="3" max="3" width="20.33203125" bestFit="1" customWidth="1"/>
    <col min="4" max="6" width="5.1640625" bestFit="1" customWidth="1"/>
    <col min="7" max="7" width="11.1640625" bestFit="1" customWidth="1"/>
    <col min="8" max="12" width="18" customWidth="1"/>
  </cols>
  <sheetData>
    <row r="1" spans="2:7" ht="8" customHeight="1" x14ac:dyDescent="0.2"/>
    <row r="2" spans="2:7" ht="30" customHeight="1" x14ac:dyDescent="0.35">
      <c r="B2" s="13" t="s">
        <v>26</v>
      </c>
    </row>
    <row r="3" spans="2:7" x14ac:dyDescent="0.2">
      <c r="B3" s="5" t="s">
        <v>132</v>
      </c>
    </row>
    <row r="5" spans="2:7" ht="22" customHeight="1" x14ac:dyDescent="0.2">
      <c r="B5" s="10" t="s">
        <v>133</v>
      </c>
    </row>
    <row r="6" spans="2:7" x14ac:dyDescent="0.2">
      <c r="B6" s="5" t="s">
        <v>129</v>
      </c>
    </row>
    <row r="7" spans="2:7" x14ac:dyDescent="0.2">
      <c r="B7" s="22" t="s">
        <v>386</v>
      </c>
      <c r="C7" s="22" t="s">
        <v>387</v>
      </c>
    </row>
    <row r="8" spans="2:7" x14ac:dyDescent="0.2">
      <c r="B8" s="22" t="s">
        <v>388</v>
      </c>
      <c r="C8">
        <v>1</v>
      </c>
      <c r="D8">
        <v>2</v>
      </c>
      <c r="E8">
        <v>3</v>
      </c>
      <c r="F8">
        <v>4</v>
      </c>
      <c r="G8" t="s">
        <v>389</v>
      </c>
    </row>
    <row r="9" spans="2:7" x14ac:dyDescent="0.2">
      <c r="B9" s="23" t="s">
        <v>66</v>
      </c>
      <c r="C9" s="25">
        <v>1500</v>
      </c>
      <c r="D9" s="25"/>
      <c r="E9" s="25"/>
      <c r="F9" s="25">
        <v>2800</v>
      </c>
      <c r="G9" s="25">
        <v>4300</v>
      </c>
    </row>
    <row r="10" spans="2:7" x14ac:dyDescent="0.2">
      <c r="B10" s="23" t="s">
        <v>69</v>
      </c>
      <c r="C10" s="25"/>
      <c r="D10" s="25">
        <v>1800</v>
      </c>
      <c r="E10" s="25"/>
      <c r="F10" s="25"/>
      <c r="G10" s="25">
        <v>1800</v>
      </c>
    </row>
    <row r="11" spans="2:7" x14ac:dyDescent="0.2">
      <c r="B11" s="23" t="s">
        <v>72</v>
      </c>
      <c r="C11" s="25"/>
      <c r="D11" s="25"/>
      <c r="E11" s="25">
        <v>2800</v>
      </c>
      <c r="F11" s="25"/>
      <c r="G11" s="25">
        <v>2800</v>
      </c>
    </row>
    <row r="12" spans="2:7" x14ac:dyDescent="0.2">
      <c r="B12" s="23" t="s">
        <v>389</v>
      </c>
      <c r="C12" s="25">
        <v>1500</v>
      </c>
      <c r="D12" s="25">
        <v>1800</v>
      </c>
      <c r="E12" s="25">
        <v>2800</v>
      </c>
      <c r="F12" s="25">
        <v>2800</v>
      </c>
      <c r="G12" s="25">
        <v>8900</v>
      </c>
    </row>
    <row r="38" spans="2:2" x14ac:dyDescent="0.2">
      <c r="B38" s="4" t="s">
        <v>43</v>
      </c>
    </row>
  </sheetData>
  <hyperlinks>
    <hyperlink ref="B38" location="Home!A1" display="Back to Home" xr:uid="{00000000-0004-0000-1600-000000000000}"/>
  </hyperlinks>
  <pageMargins left="0.35" right="0.35" top="0.6" bottom="0.6" header="0.25" footer="0.25"/>
  <pageSetup paperSize="9" fitToHeight="0" orientation="landscape"/>
  <headerFooter>
    <oddFooter>&amp;LGimnasioDanza&amp;RPage &amp;P of &amp;N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>
    <tabColor rgb="FF6B7280"/>
    <pageSetUpPr fitToPage="1"/>
  </sheetPr>
  <dimension ref="B1:C19"/>
  <sheetViews>
    <sheetView showGridLines="0" zoomScale="90" zoomScaleNormal="90" workbookViewId="0"/>
  </sheetViews>
  <sheetFormatPr baseColWidth="10" defaultColWidth="8.83203125" defaultRowHeight="15" x14ac:dyDescent="0.2"/>
  <cols>
    <col min="1" max="1" width="3" customWidth="1"/>
    <col min="2" max="2" width="30" customWidth="1"/>
    <col min="3" max="3" width="90" customWidth="1"/>
  </cols>
  <sheetData>
    <row r="1" spans="2:3" ht="8" customHeight="1" x14ac:dyDescent="0.2"/>
    <row r="2" spans="2:3" ht="26" customHeight="1" x14ac:dyDescent="0.25">
      <c r="B2" s="2" t="s">
        <v>27</v>
      </c>
    </row>
    <row r="4" spans="2:3" ht="16" x14ac:dyDescent="0.2">
      <c r="B4" s="8" t="s">
        <v>134</v>
      </c>
      <c r="C4" s="9" t="s">
        <v>135</v>
      </c>
    </row>
    <row r="5" spans="2:3" ht="32" x14ac:dyDescent="0.2">
      <c r="B5" s="8" t="s">
        <v>136</v>
      </c>
      <c r="C5" s="9" t="s">
        <v>137</v>
      </c>
    </row>
    <row r="6" spans="2:3" ht="16" x14ac:dyDescent="0.2">
      <c r="B6" s="8" t="s">
        <v>138</v>
      </c>
      <c r="C6" s="9" t="s">
        <v>139</v>
      </c>
    </row>
    <row r="7" spans="2:3" ht="16" x14ac:dyDescent="0.2">
      <c r="B7" s="8" t="s">
        <v>12</v>
      </c>
      <c r="C7" s="9" t="s">
        <v>140</v>
      </c>
    </row>
    <row r="8" spans="2:3" ht="16" x14ac:dyDescent="0.2">
      <c r="B8" s="8" t="s">
        <v>141</v>
      </c>
      <c r="C8" s="9" t="s">
        <v>142</v>
      </c>
    </row>
    <row r="9" spans="2:3" ht="16" x14ac:dyDescent="0.2">
      <c r="B9" s="8" t="s">
        <v>143</v>
      </c>
      <c r="C9" s="9" t="s">
        <v>144</v>
      </c>
    </row>
    <row r="11" spans="2:3" x14ac:dyDescent="0.2">
      <c r="B11" s="10" t="s">
        <v>145</v>
      </c>
    </row>
    <row r="12" spans="2:3" x14ac:dyDescent="0.2">
      <c r="B12" s="8" t="s">
        <v>3</v>
      </c>
      <c r="C12" s="5"/>
    </row>
    <row r="13" spans="2:3" x14ac:dyDescent="0.2">
      <c r="B13" s="8" t="s">
        <v>4</v>
      </c>
      <c r="C13" s="5"/>
    </row>
    <row r="14" spans="2:3" x14ac:dyDescent="0.2">
      <c r="B14" s="8" t="s">
        <v>5</v>
      </c>
      <c r="C14" s="5"/>
    </row>
    <row r="15" spans="2:3" x14ac:dyDescent="0.2">
      <c r="B15" s="8" t="s">
        <v>7</v>
      </c>
      <c r="C15" s="5"/>
    </row>
    <row r="16" spans="2:3" x14ac:dyDescent="0.2">
      <c r="B16" s="8" t="s">
        <v>8</v>
      </c>
      <c r="C16" s="5"/>
    </row>
    <row r="17" spans="2:3" x14ac:dyDescent="0.2">
      <c r="B17" s="8" t="s">
        <v>9</v>
      </c>
      <c r="C17" s="5"/>
    </row>
    <row r="18" spans="2:3" x14ac:dyDescent="0.2">
      <c r="B18" s="8" t="s">
        <v>10</v>
      </c>
      <c r="C18" s="5"/>
    </row>
    <row r="19" spans="2:3" x14ac:dyDescent="0.2">
      <c r="B19" s="4" t="s">
        <v>32</v>
      </c>
    </row>
  </sheetData>
  <hyperlinks>
    <hyperlink ref="B19" location="Home!A1" display="← Back to Home" xr:uid="{00000000-0004-0000-1700-000000000000}"/>
  </hyperlinks>
  <pageMargins left="0.35" right="0.35" top="0.6" bottom="0.6" header="0.25" footer="0.25"/>
  <pageSetup paperSize="9" fitToHeight="0" orientation="portrait"/>
  <headerFooter>
    <oddFooter>&amp;LGimnasioDanza&amp;RPage &amp;P of 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>
    <tabColor rgb="FF9CA3AF"/>
  </sheetPr>
  <dimension ref="A1:B17"/>
  <sheetViews>
    <sheetView workbookViewId="0"/>
  </sheetViews>
  <sheetFormatPr baseColWidth="10" defaultColWidth="8.83203125" defaultRowHeight="15" x14ac:dyDescent="0.2"/>
  <sheetData>
    <row r="1" spans="1:2" x14ac:dyDescent="0.2">
      <c r="A1" t="s">
        <v>146</v>
      </c>
      <c r="B1" t="s">
        <v>147</v>
      </c>
    </row>
    <row r="2" spans="1:2" x14ac:dyDescent="0.2">
      <c r="A2" t="s">
        <v>148</v>
      </c>
      <c r="B2" t="s">
        <v>149</v>
      </c>
    </row>
    <row r="3" spans="1:2" x14ac:dyDescent="0.2">
      <c r="A3" t="s">
        <v>150</v>
      </c>
      <c r="B3" t="s">
        <v>0</v>
      </c>
    </row>
    <row r="4" spans="1:2" x14ac:dyDescent="0.2">
      <c r="A4" t="s">
        <v>151</v>
      </c>
      <c r="B4" t="s">
        <v>152</v>
      </c>
    </row>
    <row r="5" spans="1:2" x14ac:dyDescent="0.2">
      <c r="A5" t="s">
        <v>153</v>
      </c>
      <c r="B5" t="s">
        <v>154</v>
      </c>
    </row>
    <row r="6" spans="1:2" x14ac:dyDescent="0.2">
      <c r="A6" t="s">
        <v>155</v>
      </c>
      <c r="B6" t="s">
        <v>156</v>
      </c>
    </row>
    <row r="7" spans="1:2" x14ac:dyDescent="0.2">
      <c r="A7" t="s">
        <v>157</v>
      </c>
      <c r="B7" t="s">
        <v>156</v>
      </c>
    </row>
    <row r="8" spans="1:2" x14ac:dyDescent="0.2">
      <c r="A8" t="s">
        <v>158</v>
      </c>
      <c r="B8" t="s">
        <v>159</v>
      </c>
    </row>
    <row r="9" spans="1:2" x14ac:dyDescent="0.2">
      <c r="A9" t="s">
        <v>160</v>
      </c>
      <c r="B9" t="s">
        <v>161</v>
      </c>
    </row>
    <row r="10" spans="1:2" x14ac:dyDescent="0.2">
      <c r="A10" t="s">
        <v>162</v>
      </c>
      <c r="B10" t="s">
        <v>163</v>
      </c>
    </row>
    <row r="11" spans="1:2" x14ac:dyDescent="0.2">
      <c r="A11" t="s">
        <v>164</v>
      </c>
      <c r="B11" t="s">
        <v>165</v>
      </c>
    </row>
    <row r="12" spans="1:2" x14ac:dyDescent="0.2">
      <c r="A12" t="s">
        <v>166</v>
      </c>
      <c r="B12" t="s">
        <v>167</v>
      </c>
    </row>
    <row r="13" spans="1:2" x14ac:dyDescent="0.2">
      <c r="A13" t="s">
        <v>385</v>
      </c>
      <c r="B13" t="s">
        <v>415</v>
      </c>
    </row>
    <row r="14" spans="1:2" x14ac:dyDescent="0.2">
      <c r="A14" t="s">
        <v>394</v>
      </c>
      <c r="B14" t="s">
        <v>399</v>
      </c>
    </row>
    <row r="15" spans="1:2" x14ac:dyDescent="0.2">
      <c r="A15" t="s">
        <v>395</v>
      </c>
      <c r="B15" t="s">
        <v>396</v>
      </c>
    </row>
    <row r="16" spans="1:2" x14ac:dyDescent="0.2">
      <c r="A16" t="s">
        <v>397</v>
      </c>
      <c r="B16" t="s">
        <v>396</v>
      </c>
    </row>
    <row r="17" spans="1:2" x14ac:dyDescent="0.2">
      <c r="A17" t="s">
        <v>398</v>
      </c>
      <c r="B17" t="s">
        <v>399</v>
      </c>
    </row>
  </sheetData>
  <pageMargins left="0.35" right="0.35" top="0.6" bottom="0.6" header="0.25" footer="0.2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>
    <tabColor rgb="FF9CA3AF"/>
  </sheetPr>
  <dimension ref="A1:G12"/>
  <sheetViews>
    <sheetView workbookViewId="0"/>
  </sheetViews>
  <sheetFormatPr baseColWidth="10" defaultColWidth="8.83203125" defaultRowHeight="15" x14ac:dyDescent="0.2"/>
  <sheetData>
    <row r="1" spans="1:7" x14ac:dyDescent="0.2">
      <c r="A1" s="8" t="s">
        <v>168</v>
      </c>
      <c r="B1" s="8" t="s">
        <v>169</v>
      </c>
      <c r="C1" s="8" t="s">
        <v>170</v>
      </c>
      <c r="D1" s="8" t="s">
        <v>171</v>
      </c>
      <c r="E1" s="8" t="s">
        <v>172</v>
      </c>
      <c r="F1" s="8" t="s">
        <v>173</v>
      </c>
      <c r="G1" s="8" t="s">
        <v>174</v>
      </c>
    </row>
    <row r="2" spans="1:7" x14ac:dyDescent="0.2">
      <c r="A2" t="s">
        <v>175</v>
      </c>
      <c r="B2" t="s">
        <v>176</v>
      </c>
      <c r="C2" t="s">
        <v>177</v>
      </c>
      <c r="D2" t="s">
        <v>178</v>
      </c>
      <c r="E2" t="s">
        <v>179</v>
      </c>
      <c r="F2" t="s">
        <v>175</v>
      </c>
      <c r="G2" t="s">
        <v>180</v>
      </c>
    </row>
    <row r="3" spans="1:7" x14ac:dyDescent="0.2">
      <c r="A3" t="s">
        <v>181</v>
      </c>
      <c r="B3" t="s">
        <v>182</v>
      </c>
      <c r="C3" t="s">
        <v>177</v>
      </c>
      <c r="D3" t="s">
        <v>183</v>
      </c>
      <c r="E3" t="s">
        <v>184</v>
      </c>
      <c r="F3" t="s">
        <v>185</v>
      </c>
      <c r="G3" t="s">
        <v>186</v>
      </c>
    </row>
    <row r="4" spans="1:7" x14ac:dyDescent="0.2">
      <c r="A4" t="s">
        <v>187</v>
      </c>
      <c r="B4" t="s">
        <v>188</v>
      </c>
      <c r="C4" t="s">
        <v>177</v>
      </c>
      <c r="D4" t="s">
        <v>189</v>
      </c>
      <c r="E4" t="s">
        <v>190</v>
      </c>
      <c r="F4" t="s">
        <v>187</v>
      </c>
      <c r="G4" t="s">
        <v>191</v>
      </c>
    </row>
    <row r="5" spans="1:7" x14ac:dyDescent="0.2">
      <c r="A5" t="s">
        <v>192</v>
      </c>
      <c r="B5" t="s">
        <v>193</v>
      </c>
      <c r="C5" t="s">
        <v>177</v>
      </c>
      <c r="D5" t="s">
        <v>194</v>
      </c>
      <c r="E5" t="s">
        <v>195</v>
      </c>
      <c r="F5" t="s">
        <v>192</v>
      </c>
      <c r="G5" t="s">
        <v>196</v>
      </c>
    </row>
    <row r="6" spans="1:7" x14ac:dyDescent="0.2">
      <c r="A6" t="s">
        <v>197</v>
      </c>
      <c r="B6" t="s">
        <v>198</v>
      </c>
      <c r="C6" t="s">
        <v>177</v>
      </c>
      <c r="D6" t="s">
        <v>199</v>
      </c>
      <c r="E6" t="s">
        <v>200</v>
      </c>
      <c r="F6" t="s">
        <v>197</v>
      </c>
      <c r="G6" t="s">
        <v>201</v>
      </c>
    </row>
    <row r="7" spans="1:7" x14ac:dyDescent="0.2">
      <c r="A7" t="s">
        <v>202</v>
      </c>
      <c r="B7" t="s">
        <v>203</v>
      </c>
      <c r="C7" t="s">
        <v>177</v>
      </c>
      <c r="D7" t="s">
        <v>204</v>
      </c>
      <c r="E7" t="s">
        <v>205</v>
      </c>
      <c r="F7" t="s">
        <v>202</v>
      </c>
      <c r="G7" t="s">
        <v>206</v>
      </c>
    </row>
    <row r="8" spans="1:7" x14ac:dyDescent="0.2">
      <c r="A8" t="s">
        <v>207</v>
      </c>
      <c r="B8" t="s">
        <v>208</v>
      </c>
      <c r="C8" t="s">
        <v>177</v>
      </c>
      <c r="D8" t="s">
        <v>209</v>
      </c>
      <c r="E8" t="s">
        <v>210</v>
      </c>
      <c r="F8" t="s">
        <v>207</v>
      </c>
      <c r="G8" t="s">
        <v>211</v>
      </c>
    </row>
    <row r="9" spans="1:7" x14ac:dyDescent="0.2">
      <c r="A9" t="s">
        <v>212</v>
      </c>
      <c r="B9" t="s">
        <v>213</v>
      </c>
      <c r="C9" t="s">
        <v>177</v>
      </c>
      <c r="D9" t="s">
        <v>214</v>
      </c>
      <c r="E9" t="s">
        <v>215</v>
      </c>
      <c r="F9" t="s">
        <v>212</v>
      </c>
      <c r="G9" t="s">
        <v>216</v>
      </c>
    </row>
    <row r="10" spans="1:7" x14ac:dyDescent="0.2">
      <c r="A10" t="s">
        <v>217</v>
      </c>
      <c r="B10" t="s">
        <v>218</v>
      </c>
      <c r="C10" t="s">
        <v>177</v>
      </c>
      <c r="D10" t="s">
        <v>219</v>
      </c>
      <c r="E10" t="s">
        <v>220</v>
      </c>
      <c r="F10" t="s">
        <v>217</v>
      </c>
      <c r="G10" t="s">
        <v>221</v>
      </c>
    </row>
    <row r="11" spans="1:7" x14ac:dyDescent="0.2">
      <c r="A11" t="s">
        <v>222</v>
      </c>
      <c r="B11" t="s">
        <v>223</v>
      </c>
      <c r="C11" t="s">
        <v>177</v>
      </c>
      <c r="D11" t="s">
        <v>224</v>
      </c>
      <c r="E11" t="s">
        <v>225</v>
      </c>
      <c r="F11" t="s">
        <v>226</v>
      </c>
      <c r="G11" t="s">
        <v>227</v>
      </c>
    </row>
    <row r="12" spans="1:7" x14ac:dyDescent="0.2">
      <c r="A12" t="s">
        <v>228</v>
      </c>
      <c r="B12" t="s">
        <v>229</v>
      </c>
      <c r="C12" t="s">
        <v>177</v>
      </c>
      <c r="D12" t="s">
        <v>230</v>
      </c>
      <c r="E12" t="s">
        <v>231</v>
      </c>
      <c r="F12" t="s">
        <v>228</v>
      </c>
      <c r="G12" t="s">
        <v>232</v>
      </c>
    </row>
  </sheetData>
  <pageMargins left="0.35" right="0.35" top="0.6" bottom="0.6" header="0.25" footer="0.2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>
    <tabColor rgb="FF9CA3AF"/>
  </sheetPr>
  <dimension ref="A1:J8"/>
  <sheetViews>
    <sheetView workbookViewId="0"/>
  </sheetViews>
  <sheetFormatPr baseColWidth="10" defaultColWidth="8.83203125" defaultRowHeight="15" x14ac:dyDescent="0.2"/>
  <sheetData>
    <row r="1" spans="1:10" x14ac:dyDescent="0.2">
      <c r="A1" s="8" t="s">
        <v>233</v>
      </c>
      <c r="B1" s="8" t="s">
        <v>168</v>
      </c>
      <c r="C1" s="8" t="s">
        <v>234</v>
      </c>
      <c r="D1" s="8" t="s">
        <v>235</v>
      </c>
      <c r="E1" s="8" t="s">
        <v>236</v>
      </c>
      <c r="F1" s="8" t="s">
        <v>237</v>
      </c>
      <c r="G1" s="8" t="s">
        <v>238</v>
      </c>
      <c r="H1" s="8" t="s">
        <v>239</v>
      </c>
      <c r="I1" s="8" t="s">
        <v>240</v>
      </c>
      <c r="J1" s="8" t="s">
        <v>241</v>
      </c>
    </row>
    <row r="2" spans="1:10" x14ac:dyDescent="0.2">
      <c r="A2" t="s">
        <v>242</v>
      </c>
      <c r="B2" t="s">
        <v>3</v>
      </c>
      <c r="C2" t="s">
        <v>243</v>
      </c>
      <c r="D2" t="s">
        <v>244</v>
      </c>
      <c r="E2" t="s">
        <v>3</v>
      </c>
      <c r="F2" t="s">
        <v>245</v>
      </c>
      <c r="G2" t="s">
        <v>33</v>
      </c>
      <c r="H2" t="s">
        <v>246</v>
      </c>
    </row>
    <row r="3" spans="1:10" x14ac:dyDescent="0.2">
      <c r="A3" t="s">
        <v>247</v>
      </c>
      <c r="B3" t="s">
        <v>4</v>
      </c>
      <c r="C3" t="s">
        <v>248</v>
      </c>
      <c r="D3" t="s">
        <v>249</v>
      </c>
      <c r="E3" t="s">
        <v>4</v>
      </c>
      <c r="F3" t="s">
        <v>245</v>
      </c>
      <c r="G3" t="s">
        <v>33</v>
      </c>
      <c r="H3" t="s">
        <v>246</v>
      </c>
    </row>
    <row r="4" spans="1:10" x14ac:dyDescent="0.2">
      <c r="A4" t="s">
        <v>250</v>
      </c>
      <c r="B4" t="s">
        <v>5</v>
      </c>
      <c r="C4" t="s">
        <v>251</v>
      </c>
      <c r="D4" t="s">
        <v>252</v>
      </c>
      <c r="E4" t="s">
        <v>5</v>
      </c>
      <c r="F4" t="s">
        <v>245</v>
      </c>
      <c r="G4" t="s">
        <v>33</v>
      </c>
      <c r="H4" t="s">
        <v>246</v>
      </c>
    </row>
    <row r="5" spans="1:10" x14ac:dyDescent="0.2">
      <c r="A5" t="s">
        <v>253</v>
      </c>
      <c r="B5" t="s">
        <v>7</v>
      </c>
      <c r="C5" t="s">
        <v>254</v>
      </c>
      <c r="D5" t="s">
        <v>255</v>
      </c>
      <c r="E5" t="s">
        <v>7</v>
      </c>
      <c r="F5" t="s">
        <v>245</v>
      </c>
      <c r="G5" t="s">
        <v>33</v>
      </c>
      <c r="H5" t="s">
        <v>246</v>
      </c>
    </row>
    <row r="6" spans="1:10" x14ac:dyDescent="0.2">
      <c r="A6" t="s">
        <v>256</v>
      </c>
      <c r="B6" t="s">
        <v>8</v>
      </c>
      <c r="C6" t="s">
        <v>257</v>
      </c>
      <c r="D6" t="s">
        <v>258</v>
      </c>
      <c r="E6" t="s">
        <v>8</v>
      </c>
      <c r="F6" t="s">
        <v>245</v>
      </c>
      <c r="G6" t="s">
        <v>33</v>
      </c>
      <c r="H6" t="s">
        <v>246</v>
      </c>
    </row>
    <row r="7" spans="1:10" x14ac:dyDescent="0.2">
      <c r="A7" t="s">
        <v>259</v>
      </c>
      <c r="B7" t="s">
        <v>9</v>
      </c>
      <c r="C7" t="s">
        <v>260</v>
      </c>
      <c r="D7" t="s">
        <v>261</v>
      </c>
      <c r="E7" t="s">
        <v>9</v>
      </c>
      <c r="F7" t="s">
        <v>245</v>
      </c>
      <c r="G7" t="s">
        <v>33</v>
      </c>
      <c r="H7" t="s">
        <v>246</v>
      </c>
    </row>
    <row r="8" spans="1:10" x14ac:dyDescent="0.2">
      <c r="A8" t="s">
        <v>262</v>
      </c>
      <c r="B8" t="s">
        <v>10</v>
      </c>
      <c r="C8" t="s">
        <v>263</v>
      </c>
      <c r="D8" t="s">
        <v>264</v>
      </c>
      <c r="E8" t="s">
        <v>10</v>
      </c>
      <c r="F8" t="s">
        <v>245</v>
      </c>
      <c r="G8" t="s">
        <v>33</v>
      </c>
      <c r="H8" t="s">
        <v>246</v>
      </c>
    </row>
  </sheetData>
  <pageMargins left="0.35" right="0.35" top="0.6" bottom="0.6" header="0.25" footer="0.2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>
    <tabColor rgb="FF9CA3AF"/>
  </sheetPr>
  <dimension ref="A1:S68"/>
  <sheetViews>
    <sheetView workbookViewId="0"/>
  </sheetViews>
  <sheetFormatPr baseColWidth="10" defaultColWidth="8.83203125" defaultRowHeight="15" x14ac:dyDescent="0.2"/>
  <sheetData>
    <row r="1" spans="1:19" x14ac:dyDescent="0.2">
      <c r="A1" s="8" t="s">
        <v>233</v>
      </c>
      <c r="B1" s="8" t="s">
        <v>265</v>
      </c>
      <c r="C1" s="8" t="s">
        <v>266</v>
      </c>
      <c r="D1" s="8" t="s">
        <v>267</v>
      </c>
      <c r="E1" s="8" t="s">
        <v>268</v>
      </c>
      <c r="F1" s="8" t="s">
        <v>269</v>
      </c>
      <c r="G1" s="8" t="s">
        <v>270</v>
      </c>
      <c r="H1" s="8" t="s">
        <v>271</v>
      </c>
      <c r="I1" s="8" t="s">
        <v>272</v>
      </c>
      <c r="J1" s="8" t="s">
        <v>273</v>
      </c>
      <c r="K1" s="8" t="s">
        <v>274</v>
      </c>
      <c r="L1" s="8" t="s">
        <v>275</v>
      </c>
      <c r="M1" s="8" t="s">
        <v>276</v>
      </c>
      <c r="N1" s="8" t="s">
        <v>277</v>
      </c>
      <c r="O1" s="8" t="s">
        <v>278</v>
      </c>
      <c r="P1" s="8" t="s">
        <v>279</v>
      </c>
      <c r="Q1" s="8" t="s">
        <v>280</v>
      </c>
      <c r="R1" s="8" t="s">
        <v>281</v>
      </c>
      <c r="S1" s="8" t="s">
        <v>282</v>
      </c>
    </row>
    <row r="2" spans="1:19" x14ac:dyDescent="0.2">
      <c r="A2" t="s">
        <v>242</v>
      </c>
      <c r="B2" t="s">
        <v>33</v>
      </c>
      <c r="C2" t="s">
        <v>245</v>
      </c>
      <c r="D2" t="s">
        <v>283</v>
      </c>
      <c r="E2" t="s">
        <v>284</v>
      </c>
      <c r="F2" t="s">
        <v>163</v>
      </c>
      <c r="G2" t="s">
        <v>246</v>
      </c>
      <c r="H2" t="s">
        <v>246</v>
      </c>
      <c r="I2" t="s">
        <v>246</v>
      </c>
      <c r="J2" t="s">
        <v>246</v>
      </c>
      <c r="Q2" t="s">
        <v>246</v>
      </c>
      <c r="R2" t="s">
        <v>246</v>
      </c>
      <c r="S2" t="s">
        <v>246</v>
      </c>
    </row>
    <row r="3" spans="1:19" x14ac:dyDescent="0.2">
      <c r="A3" t="s">
        <v>242</v>
      </c>
      <c r="B3" t="s">
        <v>34</v>
      </c>
      <c r="C3" t="s">
        <v>285</v>
      </c>
      <c r="D3" t="s">
        <v>283</v>
      </c>
      <c r="E3" t="s">
        <v>286</v>
      </c>
      <c r="F3" t="s">
        <v>246</v>
      </c>
      <c r="G3" t="s">
        <v>246</v>
      </c>
      <c r="H3" t="s">
        <v>163</v>
      </c>
      <c r="I3" t="s">
        <v>246</v>
      </c>
      <c r="J3" t="s">
        <v>246</v>
      </c>
      <c r="N3" t="s">
        <v>163</v>
      </c>
      <c r="Q3" t="s">
        <v>163</v>
      </c>
      <c r="R3" t="s">
        <v>163</v>
      </c>
      <c r="S3" t="s">
        <v>246</v>
      </c>
    </row>
    <row r="4" spans="1:19" x14ac:dyDescent="0.2">
      <c r="A4" t="s">
        <v>242</v>
      </c>
      <c r="B4" t="s">
        <v>35</v>
      </c>
      <c r="C4" t="s">
        <v>287</v>
      </c>
      <c r="D4" t="s">
        <v>283</v>
      </c>
      <c r="E4" t="s">
        <v>288</v>
      </c>
      <c r="F4" t="s">
        <v>246</v>
      </c>
      <c r="G4" t="s">
        <v>163</v>
      </c>
      <c r="H4" t="s">
        <v>163</v>
      </c>
      <c r="I4" t="s">
        <v>246</v>
      </c>
      <c r="J4" t="s">
        <v>246</v>
      </c>
      <c r="K4" t="s">
        <v>247</v>
      </c>
      <c r="L4" t="s">
        <v>245</v>
      </c>
      <c r="M4" t="s">
        <v>289</v>
      </c>
      <c r="Q4" t="s">
        <v>163</v>
      </c>
      <c r="R4" t="s">
        <v>163</v>
      </c>
      <c r="S4" t="s">
        <v>246</v>
      </c>
    </row>
    <row r="5" spans="1:19" x14ac:dyDescent="0.2">
      <c r="A5" t="s">
        <v>242</v>
      </c>
      <c r="B5" t="s">
        <v>36</v>
      </c>
      <c r="D5" t="s">
        <v>290</v>
      </c>
      <c r="F5" t="s">
        <v>246</v>
      </c>
      <c r="G5" t="s">
        <v>246</v>
      </c>
      <c r="H5" t="s">
        <v>246</v>
      </c>
      <c r="I5" t="s">
        <v>246</v>
      </c>
      <c r="J5" t="s">
        <v>163</v>
      </c>
      <c r="K5" t="s">
        <v>247</v>
      </c>
      <c r="L5" t="s">
        <v>245</v>
      </c>
      <c r="M5" t="s">
        <v>289</v>
      </c>
      <c r="Q5" t="s">
        <v>163</v>
      </c>
      <c r="R5" t="s">
        <v>163</v>
      </c>
      <c r="S5" t="s">
        <v>246</v>
      </c>
    </row>
    <row r="6" spans="1:19" x14ac:dyDescent="0.2">
      <c r="A6" t="s">
        <v>242</v>
      </c>
      <c r="B6" t="s">
        <v>37</v>
      </c>
      <c r="C6" t="s">
        <v>291</v>
      </c>
      <c r="D6" t="s">
        <v>283</v>
      </c>
      <c r="E6" t="s">
        <v>288</v>
      </c>
      <c r="F6" t="s">
        <v>246</v>
      </c>
      <c r="G6" t="s">
        <v>163</v>
      </c>
      <c r="H6" t="s">
        <v>163</v>
      </c>
      <c r="I6" t="s">
        <v>246</v>
      </c>
      <c r="J6" t="s">
        <v>246</v>
      </c>
      <c r="K6" t="s">
        <v>250</v>
      </c>
      <c r="L6" t="s">
        <v>245</v>
      </c>
      <c r="M6" t="s">
        <v>289</v>
      </c>
      <c r="Q6" t="s">
        <v>163</v>
      </c>
      <c r="R6" t="s">
        <v>163</v>
      </c>
      <c r="S6" t="s">
        <v>246</v>
      </c>
    </row>
    <row r="7" spans="1:19" x14ac:dyDescent="0.2">
      <c r="A7" t="s">
        <v>242</v>
      </c>
      <c r="B7" t="s">
        <v>38</v>
      </c>
      <c r="D7" t="s">
        <v>290</v>
      </c>
      <c r="F7" t="s">
        <v>246</v>
      </c>
      <c r="G7" t="s">
        <v>246</v>
      </c>
      <c r="H7" t="s">
        <v>246</v>
      </c>
      <c r="I7" t="s">
        <v>246</v>
      </c>
      <c r="J7" t="s">
        <v>163</v>
      </c>
      <c r="K7" t="s">
        <v>250</v>
      </c>
      <c r="L7" t="s">
        <v>245</v>
      </c>
      <c r="M7" t="s">
        <v>289</v>
      </c>
      <c r="Q7" t="s">
        <v>163</v>
      </c>
      <c r="R7" t="s">
        <v>163</v>
      </c>
      <c r="S7" t="s">
        <v>246</v>
      </c>
    </row>
    <row r="8" spans="1:19" x14ac:dyDescent="0.2">
      <c r="A8" t="s">
        <v>242</v>
      </c>
      <c r="B8" t="s">
        <v>39</v>
      </c>
      <c r="C8" t="s">
        <v>292</v>
      </c>
      <c r="D8" t="s">
        <v>293</v>
      </c>
      <c r="E8" t="s">
        <v>294</v>
      </c>
      <c r="F8" t="s">
        <v>246</v>
      </c>
      <c r="G8" t="s">
        <v>246</v>
      </c>
      <c r="H8" t="s">
        <v>163</v>
      </c>
      <c r="I8" t="s">
        <v>246</v>
      </c>
      <c r="J8" t="s">
        <v>246</v>
      </c>
      <c r="N8" t="s">
        <v>295</v>
      </c>
      <c r="Q8" t="s">
        <v>246</v>
      </c>
      <c r="R8" t="s">
        <v>246</v>
      </c>
      <c r="S8" t="s">
        <v>246</v>
      </c>
    </row>
    <row r="9" spans="1:19" x14ac:dyDescent="0.2">
      <c r="A9" t="s">
        <v>242</v>
      </c>
      <c r="B9" t="s">
        <v>40</v>
      </c>
      <c r="C9" t="s">
        <v>296</v>
      </c>
      <c r="D9" t="s">
        <v>297</v>
      </c>
      <c r="E9" t="s">
        <v>298</v>
      </c>
      <c r="F9" t="s">
        <v>246</v>
      </c>
      <c r="G9" t="s">
        <v>246</v>
      </c>
      <c r="H9" t="s">
        <v>163</v>
      </c>
      <c r="I9" t="s">
        <v>246</v>
      </c>
      <c r="J9" t="s">
        <v>246</v>
      </c>
      <c r="Q9" t="s">
        <v>163</v>
      </c>
      <c r="R9" t="s">
        <v>163</v>
      </c>
      <c r="S9" t="s">
        <v>246</v>
      </c>
    </row>
    <row r="10" spans="1:19" x14ac:dyDescent="0.2">
      <c r="A10" t="s">
        <v>242</v>
      </c>
      <c r="B10" t="s">
        <v>41</v>
      </c>
      <c r="C10" t="s">
        <v>299</v>
      </c>
      <c r="D10" t="s">
        <v>290</v>
      </c>
      <c r="E10" t="s">
        <v>300</v>
      </c>
      <c r="F10" t="s">
        <v>246</v>
      </c>
      <c r="G10" t="s">
        <v>246</v>
      </c>
      <c r="H10" t="s">
        <v>246</v>
      </c>
      <c r="I10" t="s">
        <v>246</v>
      </c>
      <c r="J10" t="s">
        <v>246</v>
      </c>
      <c r="Q10" t="s">
        <v>163</v>
      </c>
      <c r="R10" t="s">
        <v>163</v>
      </c>
      <c r="S10" t="s">
        <v>246</v>
      </c>
    </row>
    <row r="11" spans="1:19" x14ac:dyDescent="0.2">
      <c r="A11" t="s">
        <v>242</v>
      </c>
      <c r="B11" t="s">
        <v>42</v>
      </c>
      <c r="C11" t="s">
        <v>301</v>
      </c>
      <c r="D11" t="s">
        <v>293</v>
      </c>
      <c r="E11" t="s">
        <v>294</v>
      </c>
      <c r="F11" t="s">
        <v>246</v>
      </c>
      <c r="G11" t="s">
        <v>246</v>
      </c>
      <c r="H11" t="s">
        <v>163</v>
      </c>
      <c r="I11" t="s">
        <v>246</v>
      </c>
      <c r="J11" t="s">
        <v>246</v>
      </c>
      <c r="N11" t="s">
        <v>302</v>
      </c>
      <c r="Q11" t="s">
        <v>246</v>
      </c>
      <c r="R11" t="s">
        <v>246</v>
      </c>
      <c r="S11" t="s">
        <v>246</v>
      </c>
    </row>
    <row r="12" spans="1:19" x14ac:dyDescent="0.2">
      <c r="A12" t="s">
        <v>247</v>
      </c>
      <c r="B12" t="s">
        <v>33</v>
      </c>
      <c r="C12" t="s">
        <v>245</v>
      </c>
      <c r="D12" t="s">
        <v>283</v>
      </c>
      <c r="E12" t="s">
        <v>284</v>
      </c>
      <c r="F12" t="s">
        <v>163</v>
      </c>
      <c r="G12" t="s">
        <v>246</v>
      </c>
      <c r="H12" t="s">
        <v>246</v>
      </c>
      <c r="I12" t="s">
        <v>246</v>
      </c>
      <c r="J12" t="s">
        <v>246</v>
      </c>
      <c r="Q12" t="s">
        <v>246</v>
      </c>
      <c r="R12" t="s">
        <v>246</v>
      </c>
      <c r="S12" t="s">
        <v>246</v>
      </c>
    </row>
    <row r="13" spans="1:19" x14ac:dyDescent="0.2">
      <c r="A13" t="s">
        <v>247</v>
      </c>
      <c r="B13" t="s">
        <v>44</v>
      </c>
      <c r="C13" t="s">
        <v>303</v>
      </c>
      <c r="D13" t="s">
        <v>283</v>
      </c>
      <c r="E13" t="s">
        <v>286</v>
      </c>
      <c r="F13" t="s">
        <v>246</v>
      </c>
      <c r="G13" t="s">
        <v>246</v>
      </c>
      <c r="H13" t="s">
        <v>163</v>
      </c>
      <c r="I13" t="s">
        <v>246</v>
      </c>
      <c r="J13" t="s">
        <v>246</v>
      </c>
      <c r="N13" t="s">
        <v>163</v>
      </c>
      <c r="Q13" t="s">
        <v>163</v>
      </c>
      <c r="R13" t="s">
        <v>163</v>
      </c>
      <c r="S13" t="s">
        <v>246</v>
      </c>
    </row>
    <row r="14" spans="1:19" x14ac:dyDescent="0.2">
      <c r="A14" t="s">
        <v>247</v>
      </c>
      <c r="B14" t="s">
        <v>45</v>
      </c>
      <c r="C14" t="s">
        <v>304</v>
      </c>
      <c r="D14" t="s">
        <v>283</v>
      </c>
      <c r="E14" t="s">
        <v>286</v>
      </c>
      <c r="F14" t="s">
        <v>246</v>
      </c>
      <c r="G14" t="s">
        <v>246</v>
      </c>
      <c r="H14" t="s">
        <v>163</v>
      </c>
      <c r="I14" t="s">
        <v>246</v>
      </c>
      <c r="J14" t="s">
        <v>246</v>
      </c>
      <c r="N14" t="s">
        <v>305</v>
      </c>
      <c r="Q14" t="s">
        <v>163</v>
      </c>
      <c r="R14" t="s">
        <v>163</v>
      </c>
      <c r="S14" t="s">
        <v>246</v>
      </c>
    </row>
    <row r="15" spans="1:19" x14ac:dyDescent="0.2">
      <c r="A15" t="s">
        <v>247</v>
      </c>
      <c r="B15" t="s">
        <v>39</v>
      </c>
      <c r="C15" t="s">
        <v>292</v>
      </c>
      <c r="D15" t="s">
        <v>293</v>
      </c>
      <c r="E15" t="s">
        <v>294</v>
      </c>
      <c r="F15" t="s">
        <v>246</v>
      </c>
      <c r="G15" t="s">
        <v>246</v>
      </c>
      <c r="H15" t="s">
        <v>163</v>
      </c>
      <c r="I15" t="s">
        <v>246</v>
      </c>
      <c r="J15" t="s">
        <v>246</v>
      </c>
      <c r="N15" t="s">
        <v>295</v>
      </c>
      <c r="Q15" t="s">
        <v>246</v>
      </c>
      <c r="R15" t="s">
        <v>246</v>
      </c>
      <c r="S15" t="s">
        <v>246</v>
      </c>
    </row>
    <row r="16" spans="1:19" x14ac:dyDescent="0.2">
      <c r="A16" t="s">
        <v>247</v>
      </c>
      <c r="B16" t="s">
        <v>46</v>
      </c>
      <c r="C16" t="s">
        <v>306</v>
      </c>
      <c r="D16" t="s">
        <v>290</v>
      </c>
      <c r="E16" t="s">
        <v>300</v>
      </c>
      <c r="F16" t="s">
        <v>246</v>
      </c>
      <c r="G16" t="s">
        <v>246</v>
      </c>
      <c r="H16" t="s">
        <v>246</v>
      </c>
      <c r="I16" t="s">
        <v>246</v>
      </c>
      <c r="J16" t="s">
        <v>246</v>
      </c>
      <c r="Q16" t="s">
        <v>163</v>
      </c>
      <c r="R16" t="s">
        <v>163</v>
      </c>
      <c r="S16" t="s">
        <v>246</v>
      </c>
    </row>
    <row r="17" spans="1:19" x14ac:dyDescent="0.2">
      <c r="A17" t="s">
        <v>247</v>
      </c>
      <c r="B17" t="s">
        <v>47</v>
      </c>
      <c r="C17" t="s">
        <v>307</v>
      </c>
      <c r="D17" t="s">
        <v>290</v>
      </c>
      <c r="E17" t="s">
        <v>300</v>
      </c>
      <c r="F17" t="s">
        <v>246</v>
      </c>
      <c r="G17" t="s">
        <v>246</v>
      </c>
      <c r="H17" t="s">
        <v>246</v>
      </c>
      <c r="I17" t="s">
        <v>246</v>
      </c>
      <c r="J17" t="s">
        <v>246</v>
      </c>
      <c r="Q17" t="s">
        <v>163</v>
      </c>
      <c r="R17" t="s">
        <v>163</v>
      </c>
      <c r="S17" t="s">
        <v>246</v>
      </c>
    </row>
    <row r="18" spans="1:19" x14ac:dyDescent="0.2">
      <c r="A18" t="s">
        <v>247</v>
      </c>
      <c r="B18" t="s">
        <v>48</v>
      </c>
      <c r="C18" t="s">
        <v>289</v>
      </c>
      <c r="D18" t="s">
        <v>290</v>
      </c>
      <c r="E18" t="s">
        <v>300</v>
      </c>
      <c r="F18" t="s">
        <v>246</v>
      </c>
      <c r="G18" t="s">
        <v>246</v>
      </c>
      <c r="H18" t="s">
        <v>163</v>
      </c>
      <c r="I18" t="s">
        <v>246</v>
      </c>
      <c r="J18" t="s">
        <v>246</v>
      </c>
      <c r="Q18" t="s">
        <v>163</v>
      </c>
      <c r="R18" t="s">
        <v>163</v>
      </c>
      <c r="S18" t="s">
        <v>246</v>
      </c>
    </row>
    <row r="19" spans="1:19" x14ac:dyDescent="0.2">
      <c r="A19" t="s">
        <v>247</v>
      </c>
      <c r="B19" t="s">
        <v>49</v>
      </c>
      <c r="C19" t="s">
        <v>308</v>
      </c>
      <c r="D19" t="s">
        <v>283</v>
      </c>
      <c r="E19" t="s">
        <v>288</v>
      </c>
      <c r="F19" t="s">
        <v>246</v>
      </c>
      <c r="G19" t="s">
        <v>163</v>
      </c>
      <c r="H19" t="s">
        <v>246</v>
      </c>
      <c r="I19" t="s">
        <v>246</v>
      </c>
      <c r="J19" t="s">
        <v>246</v>
      </c>
      <c r="K19" t="s">
        <v>262</v>
      </c>
      <c r="L19" t="s">
        <v>245</v>
      </c>
      <c r="M19" t="s">
        <v>289</v>
      </c>
      <c r="Q19" t="s">
        <v>163</v>
      </c>
      <c r="R19" t="s">
        <v>163</v>
      </c>
      <c r="S19" t="s">
        <v>246</v>
      </c>
    </row>
    <row r="20" spans="1:19" x14ac:dyDescent="0.2">
      <c r="A20" t="s">
        <v>247</v>
      </c>
      <c r="B20" t="s">
        <v>50</v>
      </c>
      <c r="D20" t="s">
        <v>290</v>
      </c>
      <c r="F20" t="s">
        <v>246</v>
      </c>
      <c r="G20" t="s">
        <v>246</v>
      </c>
      <c r="H20" t="s">
        <v>246</v>
      </c>
      <c r="I20" t="s">
        <v>246</v>
      </c>
      <c r="J20" t="s">
        <v>163</v>
      </c>
      <c r="K20" t="s">
        <v>262</v>
      </c>
      <c r="L20" t="s">
        <v>245</v>
      </c>
      <c r="M20" t="s">
        <v>289</v>
      </c>
      <c r="Q20" t="s">
        <v>163</v>
      </c>
      <c r="R20" t="s">
        <v>163</v>
      </c>
      <c r="S20" t="s">
        <v>246</v>
      </c>
    </row>
    <row r="21" spans="1:19" x14ac:dyDescent="0.2">
      <c r="A21" t="s">
        <v>247</v>
      </c>
      <c r="B21" t="s">
        <v>42</v>
      </c>
      <c r="C21" t="s">
        <v>301</v>
      </c>
      <c r="D21" t="s">
        <v>293</v>
      </c>
      <c r="E21" t="s">
        <v>294</v>
      </c>
      <c r="F21" t="s">
        <v>246</v>
      </c>
      <c r="G21" t="s">
        <v>246</v>
      </c>
      <c r="H21" t="s">
        <v>163</v>
      </c>
      <c r="I21" t="s">
        <v>246</v>
      </c>
      <c r="J21" t="s">
        <v>246</v>
      </c>
      <c r="N21" t="s">
        <v>302</v>
      </c>
      <c r="Q21" t="s">
        <v>246</v>
      </c>
      <c r="R21" t="s">
        <v>246</v>
      </c>
      <c r="S21" t="s">
        <v>246</v>
      </c>
    </row>
    <row r="22" spans="1:19" x14ac:dyDescent="0.2">
      <c r="A22" t="s">
        <v>250</v>
      </c>
      <c r="B22" t="s">
        <v>33</v>
      </c>
      <c r="C22" t="s">
        <v>245</v>
      </c>
      <c r="D22" t="s">
        <v>283</v>
      </c>
      <c r="E22" t="s">
        <v>284</v>
      </c>
      <c r="F22" t="s">
        <v>163</v>
      </c>
      <c r="G22" t="s">
        <v>246</v>
      </c>
      <c r="H22" t="s">
        <v>246</v>
      </c>
      <c r="I22" t="s">
        <v>246</v>
      </c>
      <c r="J22" t="s">
        <v>246</v>
      </c>
      <c r="Q22" t="s">
        <v>246</v>
      </c>
      <c r="R22" t="s">
        <v>246</v>
      </c>
      <c r="S22" t="s">
        <v>246</v>
      </c>
    </row>
    <row r="23" spans="1:19" x14ac:dyDescent="0.2">
      <c r="A23" t="s">
        <v>250</v>
      </c>
      <c r="B23" t="s">
        <v>39</v>
      </c>
      <c r="C23" t="s">
        <v>292</v>
      </c>
      <c r="D23" t="s">
        <v>293</v>
      </c>
      <c r="E23" t="s">
        <v>294</v>
      </c>
      <c r="F23" t="s">
        <v>246</v>
      </c>
      <c r="G23" t="s">
        <v>246</v>
      </c>
      <c r="H23" t="s">
        <v>163</v>
      </c>
      <c r="I23" t="s">
        <v>246</v>
      </c>
      <c r="J23" t="s">
        <v>246</v>
      </c>
      <c r="N23" t="s">
        <v>295</v>
      </c>
      <c r="Q23" t="s">
        <v>246</v>
      </c>
      <c r="R23" t="s">
        <v>246</v>
      </c>
      <c r="S23" t="s">
        <v>246</v>
      </c>
    </row>
    <row r="24" spans="1:19" x14ac:dyDescent="0.2">
      <c r="A24" t="s">
        <v>250</v>
      </c>
      <c r="B24" t="s">
        <v>59</v>
      </c>
      <c r="C24" t="s">
        <v>309</v>
      </c>
      <c r="D24" t="s">
        <v>290</v>
      </c>
      <c r="E24" t="s">
        <v>300</v>
      </c>
      <c r="F24" t="s">
        <v>246</v>
      </c>
      <c r="G24" t="s">
        <v>246</v>
      </c>
      <c r="H24" t="s">
        <v>246</v>
      </c>
      <c r="I24" t="s">
        <v>246</v>
      </c>
      <c r="J24" t="s">
        <v>246</v>
      </c>
      <c r="Q24" t="s">
        <v>163</v>
      </c>
      <c r="R24" t="s">
        <v>163</v>
      </c>
      <c r="S24" t="s">
        <v>246</v>
      </c>
    </row>
    <row r="25" spans="1:19" x14ac:dyDescent="0.2">
      <c r="A25" t="s">
        <v>250</v>
      </c>
      <c r="B25" t="s">
        <v>60</v>
      </c>
      <c r="C25" t="s">
        <v>310</v>
      </c>
      <c r="D25" t="s">
        <v>290</v>
      </c>
      <c r="E25" t="s">
        <v>311</v>
      </c>
      <c r="F25" t="s">
        <v>246</v>
      </c>
      <c r="G25" t="s">
        <v>246</v>
      </c>
      <c r="H25" t="s">
        <v>246</v>
      </c>
      <c r="I25" t="s">
        <v>246</v>
      </c>
      <c r="J25" t="s">
        <v>246</v>
      </c>
      <c r="Q25" t="s">
        <v>163</v>
      </c>
      <c r="R25" t="s">
        <v>163</v>
      </c>
      <c r="S25" t="s">
        <v>246</v>
      </c>
    </row>
    <row r="26" spans="1:19" x14ac:dyDescent="0.2">
      <c r="A26" t="s">
        <v>250</v>
      </c>
      <c r="B26" t="s">
        <v>61</v>
      </c>
      <c r="C26" t="s">
        <v>312</v>
      </c>
      <c r="D26" t="s">
        <v>290</v>
      </c>
      <c r="E26" t="s">
        <v>288</v>
      </c>
      <c r="F26" t="s">
        <v>246</v>
      </c>
      <c r="G26" t="s">
        <v>246</v>
      </c>
      <c r="H26" t="s">
        <v>163</v>
      </c>
      <c r="I26" t="s">
        <v>246</v>
      </c>
      <c r="J26" t="s">
        <v>246</v>
      </c>
      <c r="N26" t="s">
        <v>313</v>
      </c>
      <c r="P26" t="s">
        <v>314</v>
      </c>
      <c r="Q26" t="s">
        <v>163</v>
      </c>
      <c r="R26" t="s">
        <v>163</v>
      </c>
      <c r="S26" t="s">
        <v>246</v>
      </c>
    </row>
    <row r="27" spans="1:19" x14ac:dyDescent="0.2">
      <c r="A27" t="s">
        <v>250</v>
      </c>
      <c r="B27" t="s">
        <v>62</v>
      </c>
      <c r="C27" t="s">
        <v>315</v>
      </c>
      <c r="D27" t="s">
        <v>297</v>
      </c>
      <c r="E27" t="s">
        <v>298</v>
      </c>
      <c r="F27" t="s">
        <v>246</v>
      </c>
      <c r="G27" t="s">
        <v>246</v>
      </c>
      <c r="H27" t="s">
        <v>246</v>
      </c>
      <c r="I27" t="s">
        <v>246</v>
      </c>
      <c r="J27" t="s">
        <v>246</v>
      </c>
      <c r="Q27" t="s">
        <v>163</v>
      </c>
      <c r="R27" t="s">
        <v>163</v>
      </c>
      <c r="S27" t="s">
        <v>246</v>
      </c>
    </row>
    <row r="28" spans="1:19" x14ac:dyDescent="0.2">
      <c r="A28" t="s">
        <v>250</v>
      </c>
      <c r="B28" t="s">
        <v>48</v>
      </c>
      <c r="C28" t="s">
        <v>289</v>
      </c>
      <c r="D28" t="s">
        <v>290</v>
      </c>
      <c r="E28" t="s">
        <v>300</v>
      </c>
      <c r="F28" t="s">
        <v>246</v>
      </c>
      <c r="G28" t="s">
        <v>246</v>
      </c>
      <c r="H28" t="s">
        <v>163</v>
      </c>
      <c r="I28" t="s">
        <v>246</v>
      </c>
      <c r="J28" t="s">
        <v>246</v>
      </c>
      <c r="Q28" t="s">
        <v>163</v>
      </c>
      <c r="R28" t="s">
        <v>163</v>
      </c>
      <c r="S28" t="s">
        <v>246</v>
      </c>
    </row>
    <row r="29" spans="1:19" x14ac:dyDescent="0.2">
      <c r="A29" t="s">
        <v>250</v>
      </c>
      <c r="B29" t="s">
        <v>63</v>
      </c>
      <c r="C29" t="s">
        <v>316</v>
      </c>
      <c r="D29" t="s">
        <v>290</v>
      </c>
      <c r="E29" t="s">
        <v>300</v>
      </c>
      <c r="F29" t="s">
        <v>246</v>
      </c>
      <c r="G29" t="s">
        <v>246</v>
      </c>
      <c r="H29" t="s">
        <v>246</v>
      </c>
      <c r="I29" t="s">
        <v>246</v>
      </c>
      <c r="J29" t="s">
        <v>246</v>
      </c>
      <c r="Q29" t="s">
        <v>163</v>
      </c>
      <c r="R29" t="s">
        <v>163</v>
      </c>
      <c r="S29" t="s">
        <v>246</v>
      </c>
    </row>
    <row r="30" spans="1:19" x14ac:dyDescent="0.2">
      <c r="A30" t="s">
        <v>250</v>
      </c>
      <c r="B30" t="s">
        <v>42</v>
      </c>
      <c r="C30" t="s">
        <v>301</v>
      </c>
      <c r="D30" t="s">
        <v>293</v>
      </c>
      <c r="E30" t="s">
        <v>294</v>
      </c>
      <c r="F30" t="s">
        <v>246</v>
      </c>
      <c r="G30" t="s">
        <v>246</v>
      </c>
      <c r="H30" t="s">
        <v>163</v>
      </c>
      <c r="I30" t="s">
        <v>246</v>
      </c>
      <c r="J30" t="s">
        <v>246</v>
      </c>
      <c r="N30" t="s">
        <v>295</v>
      </c>
      <c r="Q30" t="s">
        <v>246</v>
      </c>
      <c r="R30" t="s">
        <v>246</v>
      </c>
      <c r="S30" t="s">
        <v>246</v>
      </c>
    </row>
    <row r="31" spans="1:19" x14ac:dyDescent="0.2">
      <c r="A31" t="s">
        <v>253</v>
      </c>
      <c r="B31" t="s">
        <v>33</v>
      </c>
      <c r="C31" t="s">
        <v>245</v>
      </c>
      <c r="D31" t="s">
        <v>283</v>
      </c>
      <c r="E31" t="s">
        <v>284</v>
      </c>
      <c r="F31" t="s">
        <v>163</v>
      </c>
      <c r="G31" t="s">
        <v>246</v>
      </c>
      <c r="H31" t="s">
        <v>246</v>
      </c>
      <c r="I31" t="s">
        <v>246</v>
      </c>
      <c r="J31" t="s">
        <v>246</v>
      </c>
      <c r="Q31" t="s">
        <v>246</v>
      </c>
      <c r="R31" t="s">
        <v>246</v>
      </c>
      <c r="S31" t="s">
        <v>246</v>
      </c>
    </row>
    <row r="32" spans="1:19" x14ac:dyDescent="0.2">
      <c r="A32" t="s">
        <v>253</v>
      </c>
      <c r="B32" t="s">
        <v>37</v>
      </c>
      <c r="C32" t="s">
        <v>291</v>
      </c>
      <c r="D32" t="s">
        <v>283</v>
      </c>
      <c r="E32" t="s">
        <v>288</v>
      </c>
      <c r="F32" t="s">
        <v>246</v>
      </c>
      <c r="G32" t="s">
        <v>163</v>
      </c>
      <c r="H32" t="s">
        <v>163</v>
      </c>
      <c r="I32" t="s">
        <v>246</v>
      </c>
      <c r="J32" t="s">
        <v>246</v>
      </c>
      <c r="K32" t="s">
        <v>250</v>
      </c>
      <c r="L32" t="s">
        <v>245</v>
      </c>
      <c r="M32" t="s">
        <v>289</v>
      </c>
      <c r="Q32" t="s">
        <v>163</v>
      </c>
      <c r="R32" t="s">
        <v>163</v>
      </c>
      <c r="S32" t="s">
        <v>246</v>
      </c>
    </row>
    <row r="33" spans="1:19" x14ac:dyDescent="0.2">
      <c r="A33" t="s">
        <v>253</v>
      </c>
      <c r="B33" t="s">
        <v>38</v>
      </c>
      <c r="D33" t="s">
        <v>290</v>
      </c>
      <c r="F33" t="s">
        <v>246</v>
      </c>
      <c r="G33" t="s">
        <v>246</v>
      </c>
      <c r="H33" t="s">
        <v>246</v>
      </c>
      <c r="I33" t="s">
        <v>246</v>
      </c>
      <c r="J33" t="s">
        <v>163</v>
      </c>
      <c r="K33" t="s">
        <v>250</v>
      </c>
      <c r="L33" t="s">
        <v>245</v>
      </c>
      <c r="M33" t="s">
        <v>289</v>
      </c>
      <c r="Q33" t="s">
        <v>163</v>
      </c>
      <c r="R33" t="s">
        <v>163</v>
      </c>
      <c r="S33" t="s">
        <v>246</v>
      </c>
    </row>
    <row r="34" spans="1:19" x14ac:dyDescent="0.2">
      <c r="A34" t="s">
        <v>253</v>
      </c>
      <c r="B34" t="s">
        <v>39</v>
      </c>
      <c r="C34" t="s">
        <v>292</v>
      </c>
      <c r="D34" t="s">
        <v>293</v>
      </c>
      <c r="E34" t="s">
        <v>294</v>
      </c>
      <c r="F34" t="s">
        <v>246</v>
      </c>
      <c r="G34" t="s">
        <v>246</v>
      </c>
      <c r="H34" t="s">
        <v>163</v>
      </c>
      <c r="I34" t="s">
        <v>246</v>
      </c>
      <c r="J34" t="s">
        <v>246</v>
      </c>
      <c r="N34" t="s">
        <v>295</v>
      </c>
      <c r="Q34" t="s">
        <v>246</v>
      </c>
      <c r="R34" t="s">
        <v>246</v>
      </c>
      <c r="S34" t="s">
        <v>246</v>
      </c>
    </row>
    <row r="35" spans="1:19" x14ac:dyDescent="0.2">
      <c r="A35" t="s">
        <v>253</v>
      </c>
      <c r="B35" t="s">
        <v>61</v>
      </c>
      <c r="C35" t="s">
        <v>312</v>
      </c>
      <c r="D35" t="s">
        <v>290</v>
      </c>
      <c r="E35" t="s">
        <v>288</v>
      </c>
      <c r="F35" t="s">
        <v>246</v>
      </c>
      <c r="G35" t="s">
        <v>246</v>
      </c>
      <c r="H35" t="s">
        <v>163</v>
      </c>
      <c r="I35" t="s">
        <v>246</v>
      </c>
      <c r="J35" t="s">
        <v>246</v>
      </c>
      <c r="N35" t="s">
        <v>317</v>
      </c>
      <c r="P35" t="s">
        <v>318</v>
      </c>
      <c r="Q35" t="s">
        <v>163</v>
      </c>
      <c r="R35" t="s">
        <v>163</v>
      </c>
      <c r="S35" t="s">
        <v>246</v>
      </c>
    </row>
    <row r="36" spans="1:19" x14ac:dyDescent="0.2">
      <c r="A36" t="s">
        <v>253</v>
      </c>
      <c r="B36" t="s">
        <v>84</v>
      </c>
      <c r="C36" t="s">
        <v>319</v>
      </c>
      <c r="D36" t="s">
        <v>297</v>
      </c>
      <c r="E36" t="s">
        <v>298</v>
      </c>
      <c r="F36" t="s">
        <v>246</v>
      </c>
      <c r="G36" t="s">
        <v>246</v>
      </c>
      <c r="H36" t="s">
        <v>163</v>
      </c>
      <c r="I36" t="s">
        <v>246</v>
      </c>
      <c r="J36" t="s">
        <v>246</v>
      </c>
      <c r="Q36" t="s">
        <v>163</v>
      </c>
      <c r="R36" t="s">
        <v>163</v>
      </c>
      <c r="S36" t="s">
        <v>246</v>
      </c>
    </row>
    <row r="37" spans="1:19" x14ac:dyDescent="0.2">
      <c r="A37" t="s">
        <v>253</v>
      </c>
      <c r="B37" t="s">
        <v>85</v>
      </c>
      <c r="C37" t="s">
        <v>320</v>
      </c>
      <c r="D37" t="s">
        <v>297</v>
      </c>
      <c r="E37" t="s">
        <v>298</v>
      </c>
      <c r="F37" t="s">
        <v>246</v>
      </c>
      <c r="G37" t="s">
        <v>246</v>
      </c>
      <c r="H37" t="s">
        <v>163</v>
      </c>
      <c r="I37" t="s">
        <v>246</v>
      </c>
      <c r="J37" t="s">
        <v>246</v>
      </c>
      <c r="Q37" t="s">
        <v>163</v>
      </c>
      <c r="R37" t="s">
        <v>163</v>
      </c>
      <c r="S37" t="s">
        <v>246</v>
      </c>
    </row>
    <row r="38" spans="1:19" x14ac:dyDescent="0.2">
      <c r="A38" t="s">
        <v>253</v>
      </c>
      <c r="B38" t="s">
        <v>86</v>
      </c>
      <c r="C38" t="s">
        <v>321</v>
      </c>
      <c r="D38" t="s">
        <v>283</v>
      </c>
      <c r="E38" t="s">
        <v>288</v>
      </c>
      <c r="F38" t="s">
        <v>246</v>
      </c>
      <c r="G38" t="s">
        <v>163</v>
      </c>
      <c r="H38" t="s">
        <v>163</v>
      </c>
      <c r="I38" t="s">
        <v>246</v>
      </c>
      <c r="J38" t="s">
        <v>246</v>
      </c>
      <c r="K38" t="s">
        <v>259</v>
      </c>
      <c r="L38" t="s">
        <v>245</v>
      </c>
      <c r="M38" t="s">
        <v>289</v>
      </c>
      <c r="Q38" t="s">
        <v>163</v>
      </c>
      <c r="R38" t="s">
        <v>163</v>
      </c>
      <c r="S38" t="s">
        <v>246</v>
      </c>
    </row>
    <row r="39" spans="1:19" x14ac:dyDescent="0.2">
      <c r="A39" t="s">
        <v>253</v>
      </c>
      <c r="B39" t="s">
        <v>87</v>
      </c>
      <c r="D39" t="s">
        <v>290</v>
      </c>
      <c r="F39" t="s">
        <v>246</v>
      </c>
      <c r="G39" t="s">
        <v>246</v>
      </c>
      <c r="H39" t="s">
        <v>246</v>
      </c>
      <c r="I39" t="s">
        <v>246</v>
      </c>
      <c r="J39" t="s">
        <v>163</v>
      </c>
      <c r="K39" t="s">
        <v>259</v>
      </c>
      <c r="L39" t="s">
        <v>245</v>
      </c>
      <c r="M39" t="s">
        <v>289</v>
      </c>
      <c r="Q39" t="s">
        <v>163</v>
      </c>
      <c r="R39" t="s">
        <v>163</v>
      </c>
      <c r="S39" t="s">
        <v>246</v>
      </c>
    </row>
    <row r="40" spans="1:19" x14ac:dyDescent="0.2">
      <c r="A40" t="s">
        <v>253</v>
      </c>
      <c r="B40" t="s">
        <v>42</v>
      </c>
      <c r="C40" t="s">
        <v>301</v>
      </c>
      <c r="D40" t="s">
        <v>293</v>
      </c>
      <c r="E40" t="s">
        <v>294</v>
      </c>
      <c r="F40" t="s">
        <v>246</v>
      </c>
      <c r="G40" t="s">
        <v>246</v>
      </c>
      <c r="H40" t="s">
        <v>163</v>
      </c>
      <c r="I40" t="s">
        <v>246</v>
      </c>
      <c r="J40" t="s">
        <v>246</v>
      </c>
      <c r="N40" t="s">
        <v>302</v>
      </c>
      <c r="Q40" t="s">
        <v>246</v>
      </c>
      <c r="R40" t="s">
        <v>246</v>
      </c>
      <c r="S40" t="s">
        <v>246</v>
      </c>
    </row>
    <row r="41" spans="1:19" x14ac:dyDescent="0.2">
      <c r="A41" t="s">
        <v>256</v>
      </c>
      <c r="B41" t="s">
        <v>33</v>
      </c>
      <c r="C41" t="s">
        <v>245</v>
      </c>
      <c r="D41" t="s">
        <v>283</v>
      </c>
      <c r="E41" t="s">
        <v>284</v>
      </c>
      <c r="F41" t="s">
        <v>163</v>
      </c>
      <c r="G41" t="s">
        <v>246</v>
      </c>
      <c r="H41" t="s">
        <v>246</v>
      </c>
      <c r="I41" t="s">
        <v>246</v>
      </c>
      <c r="J41" t="s">
        <v>246</v>
      </c>
      <c r="Q41" t="s">
        <v>246</v>
      </c>
      <c r="R41" t="s">
        <v>246</v>
      </c>
      <c r="S41" t="s">
        <v>246</v>
      </c>
    </row>
    <row r="42" spans="1:19" x14ac:dyDescent="0.2">
      <c r="A42" t="s">
        <v>256</v>
      </c>
      <c r="B42" t="s">
        <v>37</v>
      </c>
      <c r="C42" t="s">
        <v>291</v>
      </c>
      <c r="D42" t="s">
        <v>283</v>
      </c>
      <c r="E42" t="s">
        <v>288</v>
      </c>
      <c r="F42" t="s">
        <v>246</v>
      </c>
      <c r="G42" t="s">
        <v>163</v>
      </c>
      <c r="H42" t="s">
        <v>163</v>
      </c>
      <c r="I42" t="s">
        <v>246</v>
      </c>
      <c r="J42" t="s">
        <v>246</v>
      </c>
      <c r="K42" t="s">
        <v>250</v>
      </c>
      <c r="L42" t="s">
        <v>245</v>
      </c>
      <c r="M42" t="s">
        <v>289</v>
      </c>
      <c r="Q42" t="s">
        <v>163</v>
      </c>
      <c r="R42" t="s">
        <v>163</v>
      </c>
      <c r="S42" t="s">
        <v>246</v>
      </c>
    </row>
    <row r="43" spans="1:19" x14ac:dyDescent="0.2">
      <c r="A43" t="s">
        <v>256</v>
      </c>
      <c r="B43" t="s">
        <v>38</v>
      </c>
      <c r="D43" t="s">
        <v>290</v>
      </c>
      <c r="F43" t="s">
        <v>246</v>
      </c>
      <c r="G43" t="s">
        <v>246</v>
      </c>
      <c r="H43" t="s">
        <v>246</v>
      </c>
      <c r="I43" t="s">
        <v>246</v>
      </c>
      <c r="J43" t="s">
        <v>163</v>
      </c>
      <c r="K43" t="s">
        <v>250</v>
      </c>
      <c r="L43" t="s">
        <v>245</v>
      </c>
      <c r="M43" t="s">
        <v>289</v>
      </c>
      <c r="Q43" t="s">
        <v>163</v>
      </c>
      <c r="R43" t="s">
        <v>163</v>
      </c>
      <c r="S43" t="s">
        <v>246</v>
      </c>
    </row>
    <row r="44" spans="1:19" x14ac:dyDescent="0.2">
      <c r="A44" t="s">
        <v>256</v>
      </c>
      <c r="B44" t="s">
        <v>89</v>
      </c>
      <c r="C44" t="s">
        <v>322</v>
      </c>
      <c r="D44" t="s">
        <v>290</v>
      </c>
      <c r="E44" t="s">
        <v>300</v>
      </c>
      <c r="F44" t="s">
        <v>246</v>
      </c>
      <c r="G44" t="s">
        <v>246</v>
      </c>
      <c r="H44" t="s">
        <v>246</v>
      </c>
      <c r="I44" t="s">
        <v>246</v>
      </c>
      <c r="J44" t="s">
        <v>246</v>
      </c>
      <c r="Q44" t="s">
        <v>163</v>
      </c>
      <c r="R44" t="s">
        <v>163</v>
      </c>
      <c r="S44" t="s">
        <v>246</v>
      </c>
    </row>
    <row r="45" spans="1:19" x14ac:dyDescent="0.2">
      <c r="A45" t="s">
        <v>256</v>
      </c>
      <c r="B45" t="s">
        <v>39</v>
      </c>
      <c r="C45" t="s">
        <v>292</v>
      </c>
      <c r="D45" t="s">
        <v>293</v>
      </c>
      <c r="E45" t="s">
        <v>294</v>
      </c>
      <c r="F45" t="s">
        <v>246</v>
      </c>
      <c r="G45" t="s">
        <v>246</v>
      </c>
      <c r="H45" t="s">
        <v>163</v>
      </c>
      <c r="I45" t="s">
        <v>246</v>
      </c>
      <c r="J45" t="s">
        <v>246</v>
      </c>
      <c r="N45" t="s">
        <v>295</v>
      </c>
      <c r="Q45" t="s">
        <v>246</v>
      </c>
      <c r="R45" t="s">
        <v>246</v>
      </c>
      <c r="S45" t="s">
        <v>246</v>
      </c>
    </row>
    <row r="46" spans="1:19" x14ac:dyDescent="0.2">
      <c r="A46" t="s">
        <v>256</v>
      </c>
      <c r="B46" t="s">
        <v>90</v>
      </c>
      <c r="C46" t="s">
        <v>323</v>
      </c>
      <c r="D46" t="s">
        <v>297</v>
      </c>
      <c r="E46" t="s">
        <v>298</v>
      </c>
      <c r="F46" t="s">
        <v>246</v>
      </c>
      <c r="G46" t="s">
        <v>246</v>
      </c>
      <c r="H46" t="s">
        <v>163</v>
      </c>
      <c r="I46" t="s">
        <v>246</v>
      </c>
      <c r="J46" t="s">
        <v>246</v>
      </c>
      <c r="Q46" t="s">
        <v>163</v>
      </c>
      <c r="R46" t="s">
        <v>163</v>
      </c>
      <c r="S46" t="s">
        <v>246</v>
      </c>
    </row>
    <row r="47" spans="1:19" x14ac:dyDescent="0.2">
      <c r="A47" t="s">
        <v>256</v>
      </c>
      <c r="B47" t="s">
        <v>91</v>
      </c>
      <c r="C47" t="s">
        <v>324</v>
      </c>
      <c r="D47" t="s">
        <v>283</v>
      </c>
      <c r="E47" t="s">
        <v>288</v>
      </c>
      <c r="F47" t="s">
        <v>246</v>
      </c>
      <c r="G47" t="s">
        <v>163</v>
      </c>
      <c r="H47" t="s">
        <v>246</v>
      </c>
      <c r="I47" t="s">
        <v>246</v>
      </c>
      <c r="J47" t="s">
        <v>246</v>
      </c>
      <c r="K47" t="s">
        <v>253</v>
      </c>
      <c r="L47" t="s">
        <v>245</v>
      </c>
      <c r="M47" t="s">
        <v>245</v>
      </c>
      <c r="Q47" t="s">
        <v>163</v>
      </c>
      <c r="R47" t="s">
        <v>163</v>
      </c>
      <c r="S47" t="s">
        <v>246</v>
      </c>
    </row>
    <row r="48" spans="1:19" x14ac:dyDescent="0.2">
      <c r="A48" t="s">
        <v>256</v>
      </c>
      <c r="B48" t="s">
        <v>92</v>
      </c>
      <c r="D48" t="s">
        <v>283</v>
      </c>
      <c r="F48" t="s">
        <v>246</v>
      </c>
      <c r="G48" t="s">
        <v>246</v>
      </c>
      <c r="H48" t="s">
        <v>246</v>
      </c>
      <c r="I48" t="s">
        <v>246</v>
      </c>
      <c r="J48" t="s">
        <v>163</v>
      </c>
      <c r="K48" t="s">
        <v>253</v>
      </c>
      <c r="L48" t="s">
        <v>245</v>
      </c>
      <c r="M48" t="s">
        <v>245</v>
      </c>
      <c r="Q48" t="s">
        <v>163</v>
      </c>
      <c r="R48" t="s">
        <v>163</v>
      </c>
      <c r="S48" t="s">
        <v>246</v>
      </c>
    </row>
    <row r="49" spans="1:19" x14ac:dyDescent="0.2">
      <c r="A49" t="s">
        <v>256</v>
      </c>
      <c r="B49" t="s">
        <v>93</v>
      </c>
      <c r="C49" t="s">
        <v>325</v>
      </c>
      <c r="D49" t="s">
        <v>290</v>
      </c>
      <c r="E49" t="s">
        <v>288</v>
      </c>
      <c r="F49" t="s">
        <v>246</v>
      </c>
      <c r="G49" t="s">
        <v>246</v>
      </c>
      <c r="H49" t="s">
        <v>163</v>
      </c>
      <c r="I49" t="s">
        <v>246</v>
      </c>
      <c r="J49" t="s">
        <v>246</v>
      </c>
      <c r="N49" t="s">
        <v>326</v>
      </c>
      <c r="P49" t="s">
        <v>327</v>
      </c>
      <c r="Q49" t="s">
        <v>163</v>
      </c>
      <c r="R49" t="s">
        <v>163</v>
      </c>
      <c r="S49" t="s">
        <v>246</v>
      </c>
    </row>
    <row r="50" spans="1:19" x14ac:dyDescent="0.2">
      <c r="A50" t="s">
        <v>256</v>
      </c>
      <c r="B50" t="s">
        <v>94</v>
      </c>
      <c r="C50" t="s">
        <v>328</v>
      </c>
      <c r="D50" t="s">
        <v>329</v>
      </c>
      <c r="E50" t="s">
        <v>286</v>
      </c>
      <c r="F50" t="s">
        <v>246</v>
      </c>
      <c r="G50" t="s">
        <v>246</v>
      </c>
      <c r="H50" t="s">
        <v>163</v>
      </c>
      <c r="I50" t="s">
        <v>246</v>
      </c>
      <c r="J50" t="s">
        <v>246</v>
      </c>
      <c r="Q50" t="s">
        <v>163</v>
      </c>
      <c r="R50" t="s">
        <v>163</v>
      </c>
      <c r="S50" t="s">
        <v>246</v>
      </c>
    </row>
    <row r="51" spans="1:19" x14ac:dyDescent="0.2">
      <c r="A51" t="s">
        <v>256</v>
      </c>
      <c r="B51" t="s">
        <v>42</v>
      </c>
      <c r="C51" t="s">
        <v>301</v>
      </c>
      <c r="D51" t="s">
        <v>293</v>
      </c>
      <c r="E51" t="s">
        <v>294</v>
      </c>
      <c r="F51" t="s">
        <v>246</v>
      </c>
      <c r="G51" t="s">
        <v>246</v>
      </c>
      <c r="H51" t="s">
        <v>163</v>
      </c>
      <c r="I51" t="s">
        <v>246</v>
      </c>
      <c r="J51" t="s">
        <v>246</v>
      </c>
      <c r="N51" t="s">
        <v>302</v>
      </c>
      <c r="Q51" t="s">
        <v>246</v>
      </c>
      <c r="R51" t="s">
        <v>246</v>
      </c>
      <c r="S51" t="s">
        <v>246</v>
      </c>
    </row>
    <row r="52" spans="1:19" x14ac:dyDescent="0.2">
      <c r="A52" t="s">
        <v>259</v>
      </c>
      <c r="B52" t="s">
        <v>33</v>
      </c>
      <c r="C52" t="s">
        <v>245</v>
      </c>
      <c r="D52" t="s">
        <v>283</v>
      </c>
      <c r="E52" t="s">
        <v>284</v>
      </c>
      <c r="F52" t="s">
        <v>163</v>
      </c>
      <c r="G52" t="s">
        <v>246</v>
      </c>
      <c r="H52" t="s">
        <v>246</v>
      </c>
      <c r="I52" t="s">
        <v>246</v>
      </c>
      <c r="J52" t="s">
        <v>246</v>
      </c>
      <c r="Q52" t="s">
        <v>246</v>
      </c>
      <c r="R52" t="s">
        <v>246</v>
      </c>
      <c r="S52" t="s">
        <v>246</v>
      </c>
    </row>
    <row r="53" spans="1:19" x14ac:dyDescent="0.2">
      <c r="A53" t="s">
        <v>259</v>
      </c>
      <c r="B53" t="s">
        <v>65</v>
      </c>
      <c r="C53" t="s">
        <v>330</v>
      </c>
      <c r="D53" t="s">
        <v>283</v>
      </c>
      <c r="E53" t="s">
        <v>286</v>
      </c>
      <c r="F53" t="s">
        <v>246</v>
      </c>
      <c r="G53" t="s">
        <v>246</v>
      </c>
      <c r="H53" t="s">
        <v>163</v>
      </c>
      <c r="I53" t="s">
        <v>246</v>
      </c>
      <c r="J53" t="s">
        <v>246</v>
      </c>
      <c r="N53" t="s">
        <v>163</v>
      </c>
      <c r="Q53" t="s">
        <v>163</v>
      </c>
      <c r="R53" t="s">
        <v>163</v>
      </c>
      <c r="S53" t="s">
        <v>246</v>
      </c>
    </row>
    <row r="54" spans="1:19" x14ac:dyDescent="0.2">
      <c r="A54" t="s">
        <v>259</v>
      </c>
      <c r="B54" t="s">
        <v>39</v>
      </c>
      <c r="C54" t="s">
        <v>292</v>
      </c>
      <c r="D54" t="s">
        <v>293</v>
      </c>
      <c r="E54" t="s">
        <v>294</v>
      </c>
      <c r="F54" t="s">
        <v>246</v>
      </c>
      <c r="G54" t="s">
        <v>246</v>
      </c>
      <c r="H54" t="s">
        <v>163</v>
      </c>
      <c r="I54" t="s">
        <v>246</v>
      </c>
      <c r="J54" t="s">
        <v>246</v>
      </c>
      <c r="N54" t="s">
        <v>295</v>
      </c>
      <c r="Q54" t="s">
        <v>246</v>
      </c>
      <c r="R54" t="s">
        <v>246</v>
      </c>
      <c r="S54" t="s">
        <v>246</v>
      </c>
    </row>
    <row r="55" spans="1:19" x14ac:dyDescent="0.2">
      <c r="A55" t="s">
        <v>259</v>
      </c>
      <c r="B55" t="s">
        <v>46</v>
      </c>
      <c r="C55" t="s">
        <v>306</v>
      </c>
      <c r="D55" t="s">
        <v>290</v>
      </c>
      <c r="E55" t="s">
        <v>300</v>
      </c>
      <c r="F55" t="s">
        <v>246</v>
      </c>
      <c r="G55" t="s">
        <v>246</v>
      </c>
      <c r="H55" t="s">
        <v>246</v>
      </c>
      <c r="I55" t="s">
        <v>246</v>
      </c>
      <c r="J55" t="s">
        <v>246</v>
      </c>
      <c r="Q55" t="s">
        <v>163</v>
      </c>
      <c r="R55" t="s">
        <v>163</v>
      </c>
      <c r="S55" t="s">
        <v>246</v>
      </c>
    </row>
    <row r="56" spans="1:19" x14ac:dyDescent="0.2">
      <c r="A56" t="s">
        <v>259</v>
      </c>
      <c r="B56" t="s">
        <v>101</v>
      </c>
      <c r="C56" t="s">
        <v>331</v>
      </c>
      <c r="D56" t="s">
        <v>283</v>
      </c>
      <c r="E56" t="s">
        <v>286</v>
      </c>
      <c r="F56" t="s">
        <v>246</v>
      </c>
      <c r="G56" t="s">
        <v>246</v>
      </c>
      <c r="H56" t="s">
        <v>163</v>
      </c>
      <c r="I56" t="s">
        <v>246</v>
      </c>
      <c r="J56" t="s">
        <v>246</v>
      </c>
      <c r="N56" t="s">
        <v>332</v>
      </c>
      <c r="Q56" t="s">
        <v>163</v>
      </c>
      <c r="R56" t="s">
        <v>163</v>
      </c>
      <c r="S56" t="s">
        <v>246</v>
      </c>
    </row>
    <row r="57" spans="1:19" x14ac:dyDescent="0.2">
      <c r="A57" t="s">
        <v>259</v>
      </c>
      <c r="B57" t="s">
        <v>48</v>
      </c>
      <c r="C57" t="s">
        <v>289</v>
      </c>
      <c r="D57" t="s">
        <v>290</v>
      </c>
      <c r="E57" t="s">
        <v>300</v>
      </c>
      <c r="F57" t="s">
        <v>246</v>
      </c>
      <c r="G57" t="s">
        <v>246</v>
      </c>
      <c r="H57" t="s">
        <v>163</v>
      </c>
      <c r="I57" t="s">
        <v>246</v>
      </c>
      <c r="J57" t="s">
        <v>246</v>
      </c>
      <c r="Q57" t="s">
        <v>163</v>
      </c>
      <c r="R57" t="s">
        <v>163</v>
      </c>
      <c r="S57" t="s">
        <v>246</v>
      </c>
    </row>
    <row r="58" spans="1:19" x14ac:dyDescent="0.2">
      <c r="A58" t="s">
        <v>259</v>
      </c>
      <c r="B58" t="s">
        <v>102</v>
      </c>
      <c r="C58" t="s">
        <v>333</v>
      </c>
      <c r="D58" t="s">
        <v>329</v>
      </c>
      <c r="E58" t="s">
        <v>286</v>
      </c>
      <c r="F58" t="s">
        <v>246</v>
      </c>
      <c r="G58" t="s">
        <v>246</v>
      </c>
      <c r="H58" t="s">
        <v>163</v>
      </c>
      <c r="I58" t="s">
        <v>246</v>
      </c>
      <c r="J58" t="s">
        <v>246</v>
      </c>
      <c r="Q58" t="s">
        <v>163</v>
      </c>
      <c r="R58" t="s">
        <v>163</v>
      </c>
      <c r="S58" t="s">
        <v>246</v>
      </c>
    </row>
    <row r="59" spans="1:19" x14ac:dyDescent="0.2">
      <c r="A59" t="s">
        <v>259</v>
      </c>
      <c r="B59" t="s">
        <v>103</v>
      </c>
      <c r="C59" t="s">
        <v>334</v>
      </c>
      <c r="D59" t="s">
        <v>290</v>
      </c>
      <c r="E59" t="s">
        <v>288</v>
      </c>
      <c r="F59" t="s">
        <v>246</v>
      </c>
      <c r="G59" t="s">
        <v>246</v>
      </c>
      <c r="H59" t="s">
        <v>163</v>
      </c>
      <c r="I59" t="s">
        <v>246</v>
      </c>
      <c r="J59" t="s">
        <v>246</v>
      </c>
      <c r="N59" t="s">
        <v>335</v>
      </c>
      <c r="P59" t="s">
        <v>336</v>
      </c>
      <c r="Q59" t="s">
        <v>163</v>
      </c>
      <c r="R59" t="s">
        <v>163</v>
      </c>
      <c r="S59" t="s">
        <v>246</v>
      </c>
    </row>
    <row r="60" spans="1:19" x14ac:dyDescent="0.2">
      <c r="A60" t="s">
        <v>259</v>
      </c>
      <c r="B60" t="s">
        <v>42</v>
      </c>
      <c r="C60" t="s">
        <v>301</v>
      </c>
      <c r="D60" t="s">
        <v>293</v>
      </c>
      <c r="E60" t="s">
        <v>294</v>
      </c>
      <c r="F60" t="s">
        <v>246</v>
      </c>
      <c r="G60" t="s">
        <v>246</v>
      </c>
      <c r="H60" t="s">
        <v>163</v>
      </c>
      <c r="I60" t="s">
        <v>246</v>
      </c>
      <c r="J60" t="s">
        <v>246</v>
      </c>
      <c r="N60" t="s">
        <v>302</v>
      </c>
      <c r="Q60" t="s">
        <v>246</v>
      </c>
      <c r="R60" t="s">
        <v>246</v>
      </c>
      <c r="S60" t="s">
        <v>246</v>
      </c>
    </row>
    <row r="61" spans="1:19" x14ac:dyDescent="0.2">
      <c r="A61" t="s">
        <v>262</v>
      </c>
      <c r="B61" t="s">
        <v>33</v>
      </c>
      <c r="C61" t="s">
        <v>245</v>
      </c>
      <c r="D61" t="s">
        <v>283</v>
      </c>
      <c r="E61" t="s">
        <v>284</v>
      </c>
      <c r="F61" t="s">
        <v>163</v>
      </c>
      <c r="G61" t="s">
        <v>246</v>
      </c>
      <c r="H61" t="s">
        <v>246</v>
      </c>
      <c r="I61" t="s">
        <v>246</v>
      </c>
      <c r="J61" t="s">
        <v>246</v>
      </c>
      <c r="Q61" t="s">
        <v>246</v>
      </c>
      <c r="R61" t="s">
        <v>246</v>
      </c>
      <c r="S61" t="s">
        <v>246</v>
      </c>
    </row>
    <row r="62" spans="1:19" x14ac:dyDescent="0.2">
      <c r="A62" t="s">
        <v>262</v>
      </c>
      <c r="B62" t="s">
        <v>65</v>
      </c>
      <c r="C62" t="s">
        <v>330</v>
      </c>
      <c r="D62" t="s">
        <v>283</v>
      </c>
      <c r="E62" t="s">
        <v>286</v>
      </c>
      <c r="F62" t="s">
        <v>246</v>
      </c>
      <c r="G62" t="s">
        <v>246</v>
      </c>
      <c r="H62" t="s">
        <v>163</v>
      </c>
      <c r="I62" t="s">
        <v>246</v>
      </c>
      <c r="J62" t="s">
        <v>246</v>
      </c>
      <c r="N62" t="s">
        <v>163</v>
      </c>
      <c r="Q62" t="s">
        <v>163</v>
      </c>
      <c r="R62" t="s">
        <v>163</v>
      </c>
      <c r="S62" t="s">
        <v>246</v>
      </c>
    </row>
    <row r="63" spans="1:19" x14ac:dyDescent="0.2">
      <c r="A63" t="s">
        <v>262</v>
      </c>
      <c r="B63" t="s">
        <v>39</v>
      </c>
      <c r="C63" t="s">
        <v>292</v>
      </c>
      <c r="D63" t="s">
        <v>293</v>
      </c>
      <c r="E63" t="s">
        <v>294</v>
      </c>
      <c r="F63" t="s">
        <v>246</v>
      </c>
      <c r="G63" t="s">
        <v>246</v>
      </c>
      <c r="H63" t="s">
        <v>163</v>
      </c>
      <c r="I63" t="s">
        <v>246</v>
      </c>
      <c r="J63" t="s">
        <v>246</v>
      </c>
      <c r="N63" t="s">
        <v>295</v>
      </c>
      <c r="Q63" t="s">
        <v>246</v>
      </c>
      <c r="R63" t="s">
        <v>246</v>
      </c>
      <c r="S63" t="s">
        <v>246</v>
      </c>
    </row>
    <row r="64" spans="1:19" x14ac:dyDescent="0.2">
      <c r="A64" t="s">
        <v>262</v>
      </c>
      <c r="B64" t="s">
        <v>60</v>
      </c>
      <c r="C64" t="s">
        <v>310</v>
      </c>
      <c r="D64" t="s">
        <v>290</v>
      </c>
      <c r="E64" t="s">
        <v>311</v>
      </c>
      <c r="F64" t="s">
        <v>246</v>
      </c>
      <c r="G64" t="s">
        <v>246</v>
      </c>
      <c r="H64" t="s">
        <v>246</v>
      </c>
      <c r="I64" t="s">
        <v>246</v>
      </c>
      <c r="J64" t="s">
        <v>246</v>
      </c>
      <c r="Q64" t="s">
        <v>163</v>
      </c>
      <c r="R64" t="s">
        <v>163</v>
      </c>
      <c r="S64" t="s">
        <v>246</v>
      </c>
    </row>
    <row r="65" spans="1:19" x14ac:dyDescent="0.2">
      <c r="A65" t="s">
        <v>262</v>
      </c>
      <c r="B65" t="s">
        <v>116</v>
      </c>
      <c r="C65" t="s">
        <v>337</v>
      </c>
      <c r="D65" t="s">
        <v>290</v>
      </c>
      <c r="E65" t="s">
        <v>288</v>
      </c>
      <c r="F65" t="s">
        <v>246</v>
      </c>
      <c r="G65" t="s">
        <v>246</v>
      </c>
      <c r="H65" t="s">
        <v>163</v>
      </c>
      <c r="I65" t="s">
        <v>246</v>
      </c>
      <c r="J65" t="s">
        <v>246</v>
      </c>
      <c r="N65" t="s">
        <v>338</v>
      </c>
      <c r="P65" t="s">
        <v>339</v>
      </c>
      <c r="Q65" t="s">
        <v>163</v>
      </c>
      <c r="R65" t="s">
        <v>163</v>
      </c>
      <c r="S65" t="s">
        <v>246</v>
      </c>
    </row>
    <row r="66" spans="1:19" x14ac:dyDescent="0.2">
      <c r="A66" t="s">
        <v>262</v>
      </c>
      <c r="B66" t="s">
        <v>48</v>
      </c>
      <c r="C66" t="s">
        <v>289</v>
      </c>
      <c r="D66" t="s">
        <v>290</v>
      </c>
      <c r="E66" t="s">
        <v>300</v>
      </c>
      <c r="F66" t="s">
        <v>246</v>
      </c>
      <c r="G66" t="s">
        <v>246</v>
      </c>
      <c r="H66" t="s">
        <v>163</v>
      </c>
      <c r="I66" t="s">
        <v>246</v>
      </c>
      <c r="J66" t="s">
        <v>246</v>
      </c>
      <c r="Q66" t="s">
        <v>163</v>
      </c>
      <c r="R66" t="s">
        <v>163</v>
      </c>
      <c r="S66" t="s">
        <v>246</v>
      </c>
    </row>
    <row r="67" spans="1:19" x14ac:dyDescent="0.2">
      <c r="A67" t="s">
        <v>262</v>
      </c>
      <c r="B67" t="s">
        <v>63</v>
      </c>
      <c r="C67" t="s">
        <v>316</v>
      </c>
      <c r="D67" t="s">
        <v>290</v>
      </c>
      <c r="E67" t="s">
        <v>300</v>
      </c>
      <c r="F67" t="s">
        <v>246</v>
      </c>
      <c r="G67" t="s">
        <v>246</v>
      </c>
      <c r="H67" t="s">
        <v>246</v>
      </c>
      <c r="I67" t="s">
        <v>246</v>
      </c>
      <c r="J67" t="s">
        <v>246</v>
      </c>
      <c r="Q67" t="s">
        <v>163</v>
      </c>
      <c r="R67" t="s">
        <v>163</v>
      </c>
      <c r="S67" t="s">
        <v>246</v>
      </c>
    </row>
    <row r="68" spans="1:19" x14ac:dyDescent="0.2">
      <c r="A68" t="s">
        <v>262</v>
      </c>
      <c r="B68" t="s">
        <v>42</v>
      </c>
      <c r="C68" t="s">
        <v>301</v>
      </c>
      <c r="D68" t="s">
        <v>293</v>
      </c>
      <c r="E68" t="s">
        <v>294</v>
      </c>
      <c r="F68" t="s">
        <v>246</v>
      </c>
      <c r="G68" t="s">
        <v>246</v>
      </c>
      <c r="H68" t="s">
        <v>163</v>
      </c>
      <c r="I68" t="s">
        <v>246</v>
      </c>
      <c r="J68" t="s">
        <v>246</v>
      </c>
      <c r="N68" t="s">
        <v>302</v>
      </c>
      <c r="Q68" t="s">
        <v>246</v>
      </c>
      <c r="R68" t="s">
        <v>246</v>
      </c>
      <c r="S68" t="s">
        <v>246</v>
      </c>
    </row>
  </sheetData>
  <pageMargins left="0.35" right="0.35" top="0.6" bottom="0.6" header="0.25" footer="0.2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>
    <tabColor rgb="FF9CA3AF"/>
  </sheetPr>
  <dimension ref="A1:F50"/>
  <sheetViews>
    <sheetView workbookViewId="0"/>
  </sheetViews>
  <sheetFormatPr baseColWidth="10" defaultColWidth="8.83203125" defaultRowHeight="15" x14ac:dyDescent="0.2"/>
  <sheetData>
    <row r="1" spans="1:6" x14ac:dyDescent="0.2">
      <c r="A1" s="8" t="s">
        <v>233</v>
      </c>
      <c r="B1" s="8" t="s">
        <v>266</v>
      </c>
      <c r="C1" s="8" t="s">
        <v>340</v>
      </c>
      <c r="D1" s="8" t="s">
        <v>341</v>
      </c>
      <c r="E1" s="8" t="s">
        <v>342</v>
      </c>
      <c r="F1" s="8" t="s">
        <v>343</v>
      </c>
    </row>
    <row r="2" spans="1:6" x14ac:dyDescent="0.2">
      <c r="A2" t="s">
        <v>242</v>
      </c>
      <c r="B2" t="s">
        <v>285</v>
      </c>
      <c r="C2" t="s">
        <v>271</v>
      </c>
      <c r="D2" t="s">
        <v>344</v>
      </c>
      <c r="E2" t="s">
        <v>345</v>
      </c>
      <c r="F2" t="s">
        <v>346</v>
      </c>
    </row>
    <row r="3" spans="1:6" x14ac:dyDescent="0.2">
      <c r="A3" t="s">
        <v>242</v>
      </c>
      <c r="B3" t="s">
        <v>287</v>
      </c>
      <c r="C3" t="s">
        <v>271</v>
      </c>
      <c r="D3" t="s">
        <v>344</v>
      </c>
      <c r="E3" t="s">
        <v>347</v>
      </c>
      <c r="F3" t="s">
        <v>346</v>
      </c>
    </row>
    <row r="4" spans="1:6" x14ac:dyDescent="0.2">
      <c r="A4" t="s">
        <v>242</v>
      </c>
      <c r="B4" t="s">
        <v>291</v>
      </c>
      <c r="C4" t="s">
        <v>271</v>
      </c>
      <c r="D4" t="s">
        <v>344</v>
      </c>
      <c r="E4" t="s">
        <v>348</v>
      </c>
      <c r="F4" t="s">
        <v>346</v>
      </c>
    </row>
    <row r="5" spans="1:6" x14ac:dyDescent="0.2">
      <c r="A5" t="s">
        <v>242</v>
      </c>
      <c r="B5" t="s">
        <v>292</v>
      </c>
      <c r="C5" t="s">
        <v>271</v>
      </c>
      <c r="D5" t="s">
        <v>344</v>
      </c>
      <c r="E5" t="s">
        <v>349</v>
      </c>
      <c r="F5" t="s">
        <v>346</v>
      </c>
    </row>
    <row r="6" spans="1:6" x14ac:dyDescent="0.2">
      <c r="A6" t="s">
        <v>242</v>
      </c>
      <c r="B6" t="s">
        <v>296</v>
      </c>
      <c r="C6" t="s">
        <v>271</v>
      </c>
      <c r="D6" t="s">
        <v>344</v>
      </c>
      <c r="E6" t="s">
        <v>350</v>
      </c>
      <c r="F6" t="s">
        <v>346</v>
      </c>
    </row>
    <row r="7" spans="1:6" x14ac:dyDescent="0.2">
      <c r="A7" t="s">
        <v>242</v>
      </c>
      <c r="B7" t="s">
        <v>245</v>
      </c>
      <c r="C7" t="s">
        <v>271</v>
      </c>
      <c r="D7" t="s">
        <v>344</v>
      </c>
      <c r="E7" t="s">
        <v>351</v>
      </c>
      <c r="F7" t="s">
        <v>346</v>
      </c>
    </row>
    <row r="8" spans="1:6" x14ac:dyDescent="0.2">
      <c r="A8" t="s">
        <v>242</v>
      </c>
      <c r="B8" t="s">
        <v>301</v>
      </c>
      <c r="C8" t="s">
        <v>271</v>
      </c>
      <c r="D8" t="s">
        <v>344</v>
      </c>
      <c r="E8" t="s">
        <v>352</v>
      </c>
      <c r="F8" t="s">
        <v>346</v>
      </c>
    </row>
    <row r="9" spans="1:6" x14ac:dyDescent="0.2">
      <c r="A9" t="s">
        <v>247</v>
      </c>
      <c r="B9" t="s">
        <v>303</v>
      </c>
      <c r="C9" t="s">
        <v>271</v>
      </c>
      <c r="D9" t="s">
        <v>344</v>
      </c>
      <c r="E9" t="s">
        <v>353</v>
      </c>
      <c r="F9" t="s">
        <v>346</v>
      </c>
    </row>
    <row r="10" spans="1:6" x14ac:dyDescent="0.2">
      <c r="A10" t="s">
        <v>247</v>
      </c>
      <c r="B10" t="s">
        <v>304</v>
      </c>
      <c r="C10" t="s">
        <v>271</v>
      </c>
      <c r="D10" t="s">
        <v>344</v>
      </c>
      <c r="E10" t="s">
        <v>354</v>
      </c>
      <c r="F10" t="s">
        <v>346</v>
      </c>
    </row>
    <row r="11" spans="1:6" x14ac:dyDescent="0.2">
      <c r="A11" t="s">
        <v>247</v>
      </c>
      <c r="B11" t="s">
        <v>292</v>
      </c>
      <c r="C11" t="s">
        <v>271</v>
      </c>
      <c r="D11" t="s">
        <v>344</v>
      </c>
      <c r="E11" t="s">
        <v>349</v>
      </c>
      <c r="F11" t="s">
        <v>346</v>
      </c>
    </row>
    <row r="12" spans="1:6" x14ac:dyDescent="0.2">
      <c r="A12" t="s">
        <v>247</v>
      </c>
      <c r="B12" t="s">
        <v>245</v>
      </c>
      <c r="C12" t="s">
        <v>271</v>
      </c>
      <c r="D12" t="s">
        <v>344</v>
      </c>
      <c r="E12" t="s">
        <v>351</v>
      </c>
      <c r="F12" t="s">
        <v>346</v>
      </c>
    </row>
    <row r="13" spans="1:6" x14ac:dyDescent="0.2">
      <c r="A13" t="s">
        <v>247</v>
      </c>
      <c r="B13" t="s">
        <v>289</v>
      </c>
      <c r="C13" t="s">
        <v>271</v>
      </c>
      <c r="D13" t="s">
        <v>344</v>
      </c>
      <c r="E13" t="s">
        <v>355</v>
      </c>
      <c r="F13" t="s">
        <v>346</v>
      </c>
    </row>
    <row r="14" spans="1:6" x14ac:dyDescent="0.2">
      <c r="A14" t="s">
        <v>247</v>
      </c>
      <c r="B14" t="s">
        <v>308</v>
      </c>
      <c r="C14" t="s">
        <v>271</v>
      </c>
      <c r="D14" t="s">
        <v>344</v>
      </c>
      <c r="E14" t="s">
        <v>356</v>
      </c>
      <c r="F14" t="s">
        <v>346</v>
      </c>
    </row>
    <row r="15" spans="1:6" x14ac:dyDescent="0.2">
      <c r="A15" t="s">
        <v>247</v>
      </c>
      <c r="B15" t="s">
        <v>301</v>
      </c>
      <c r="C15" t="s">
        <v>271</v>
      </c>
      <c r="D15" t="s">
        <v>344</v>
      </c>
      <c r="E15" t="s">
        <v>352</v>
      </c>
      <c r="F15" t="s">
        <v>346</v>
      </c>
    </row>
    <row r="16" spans="1:6" x14ac:dyDescent="0.2">
      <c r="A16" t="s">
        <v>250</v>
      </c>
      <c r="B16" t="s">
        <v>292</v>
      </c>
      <c r="C16" t="s">
        <v>271</v>
      </c>
      <c r="D16" t="s">
        <v>344</v>
      </c>
      <c r="E16" t="s">
        <v>349</v>
      </c>
      <c r="F16" t="s">
        <v>346</v>
      </c>
    </row>
    <row r="17" spans="1:6" x14ac:dyDescent="0.2">
      <c r="A17" t="s">
        <v>250</v>
      </c>
      <c r="B17" t="s">
        <v>312</v>
      </c>
      <c r="C17" t="s">
        <v>271</v>
      </c>
      <c r="D17" t="s">
        <v>344</v>
      </c>
      <c r="E17" t="s">
        <v>357</v>
      </c>
      <c r="F17" t="s">
        <v>346</v>
      </c>
    </row>
    <row r="18" spans="1:6" x14ac:dyDescent="0.2">
      <c r="A18" t="s">
        <v>250</v>
      </c>
      <c r="B18" t="s">
        <v>245</v>
      </c>
      <c r="C18" t="s">
        <v>271</v>
      </c>
      <c r="D18" t="s">
        <v>344</v>
      </c>
      <c r="E18" t="s">
        <v>351</v>
      </c>
      <c r="F18" t="s">
        <v>346</v>
      </c>
    </row>
    <row r="19" spans="1:6" x14ac:dyDescent="0.2">
      <c r="A19" t="s">
        <v>250</v>
      </c>
      <c r="B19" t="s">
        <v>289</v>
      </c>
      <c r="C19" t="s">
        <v>271</v>
      </c>
      <c r="D19" t="s">
        <v>344</v>
      </c>
      <c r="E19" t="s">
        <v>355</v>
      </c>
      <c r="F19" t="s">
        <v>346</v>
      </c>
    </row>
    <row r="20" spans="1:6" x14ac:dyDescent="0.2">
      <c r="A20" t="s">
        <v>250</v>
      </c>
      <c r="B20" t="s">
        <v>301</v>
      </c>
      <c r="C20" t="s">
        <v>271</v>
      </c>
      <c r="D20" t="s">
        <v>344</v>
      </c>
      <c r="E20" t="s">
        <v>352</v>
      </c>
      <c r="F20" t="s">
        <v>346</v>
      </c>
    </row>
    <row r="21" spans="1:6" x14ac:dyDescent="0.2">
      <c r="A21" t="s">
        <v>253</v>
      </c>
      <c r="B21" t="s">
        <v>291</v>
      </c>
      <c r="C21" t="s">
        <v>271</v>
      </c>
      <c r="D21" t="s">
        <v>344</v>
      </c>
      <c r="E21" t="s">
        <v>348</v>
      </c>
      <c r="F21" t="s">
        <v>346</v>
      </c>
    </row>
    <row r="22" spans="1:6" x14ac:dyDescent="0.2">
      <c r="A22" t="s">
        <v>253</v>
      </c>
      <c r="B22" t="s">
        <v>292</v>
      </c>
      <c r="C22" t="s">
        <v>271</v>
      </c>
      <c r="D22" t="s">
        <v>344</v>
      </c>
      <c r="E22" t="s">
        <v>349</v>
      </c>
      <c r="F22" t="s">
        <v>346</v>
      </c>
    </row>
    <row r="23" spans="1:6" x14ac:dyDescent="0.2">
      <c r="A23" t="s">
        <v>253</v>
      </c>
      <c r="B23" t="s">
        <v>312</v>
      </c>
      <c r="C23" t="s">
        <v>271</v>
      </c>
      <c r="D23" t="s">
        <v>344</v>
      </c>
      <c r="E23" t="s">
        <v>357</v>
      </c>
      <c r="F23" t="s">
        <v>346</v>
      </c>
    </row>
    <row r="24" spans="1:6" x14ac:dyDescent="0.2">
      <c r="A24" t="s">
        <v>253</v>
      </c>
      <c r="B24" t="s">
        <v>319</v>
      </c>
      <c r="C24" t="s">
        <v>271</v>
      </c>
      <c r="D24" t="s">
        <v>344</v>
      </c>
      <c r="E24" t="s">
        <v>358</v>
      </c>
      <c r="F24" t="s">
        <v>346</v>
      </c>
    </row>
    <row r="25" spans="1:6" x14ac:dyDescent="0.2">
      <c r="A25" t="s">
        <v>253</v>
      </c>
      <c r="B25" t="s">
        <v>320</v>
      </c>
      <c r="C25" t="s">
        <v>271</v>
      </c>
      <c r="D25" t="s">
        <v>344</v>
      </c>
      <c r="E25" t="s">
        <v>359</v>
      </c>
      <c r="F25" t="s">
        <v>346</v>
      </c>
    </row>
    <row r="26" spans="1:6" x14ac:dyDescent="0.2">
      <c r="A26" t="s">
        <v>253</v>
      </c>
      <c r="B26" t="s">
        <v>245</v>
      </c>
      <c r="C26" t="s">
        <v>271</v>
      </c>
      <c r="D26" t="s">
        <v>344</v>
      </c>
      <c r="E26" t="s">
        <v>351</v>
      </c>
      <c r="F26" t="s">
        <v>346</v>
      </c>
    </row>
    <row r="27" spans="1:6" x14ac:dyDescent="0.2">
      <c r="A27" t="s">
        <v>253</v>
      </c>
      <c r="B27" t="s">
        <v>321</v>
      </c>
      <c r="C27" t="s">
        <v>271</v>
      </c>
      <c r="D27" t="s">
        <v>344</v>
      </c>
      <c r="E27" t="s">
        <v>360</v>
      </c>
      <c r="F27" t="s">
        <v>346</v>
      </c>
    </row>
    <row r="28" spans="1:6" x14ac:dyDescent="0.2">
      <c r="A28" t="s">
        <v>253</v>
      </c>
      <c r="B28" t="s">
        <v>301</v>
      </c>
      <c r="C28" t="s">
        <v>271</v>
      </c>
      <c r="D28" t="s">
        <v>344</v>
      </c>
      <c r="E28" t="s">
        <v>352</v>
      </c>
      <c r="F28" t="s">
        <v>346</v>
      </c>
    </row>
    <row r="29" spans="1:6" x14ac:dyDescent="0.2">
      <c r="A29" t="s">
        <v>256</v>
      </c>
      <c r="B29" t="s">
        <v>291</v>
      </c>
      <c r="C29" t="s">
        <v>271</v>
      </c>
      <c r="D29" t="s">
        <v>344</v>
      </c>
      <c r="E29" t="s">
        <v>348</v>
      </c>
      <c r="F29" t="s">
        <v>346</v>
      </c>
    </row>
    <row r="30" spans="1:6" x14ac:dyDescent="0.2">
      <c r="A30" t="s">
        <v>256</v>
      </c>
      <c r="B30" t="s">
        <v>292</v>
      </c>
      <c r="C30" t="s">
        <v>271</v>
      </c>
      <c r="D30" t="s">
        <v>344</v>
      </c>
      <c r="E30" t="s">
        <v>349</v>
      </c>
      <c r="F30" t="s">
        <v>346</v>
      </c>
    </row>
    <row r="31" spans="1:6" x14ac:dyDescent="0.2">
      <c r="A31" t="s">
        <v>256</v>
      </c>
      <c r="B31" t="s">
        <v>323</v>
      </c>
      <c r="C31" t="s">
        <v>271</v>
      </c>
      <c r="D31" t="s">
        <v>344</v>
      </c>
      <c r="E31" t="s">
        <v>361</v>
      </c>
      <c r="F31" t="s">
        <v>346</v>
      </c>
    </row>
    <row r="32" spans="1:6" x14ac:dyDescent="0.2">
      <c r="A32" t="s">
        <v>256</v>
      </c>
      <c r="B32" t="s">
        <v>245</v>
      </c>
      <c r="C32" t="s">
        <v>271</v>
      </c>
      <c r="D32" t="s">
        <v>344</v>
      </c>
      <c r="E32" t="s">
        <v>351</v>
      </c>
      <c r="F32" t="s">
        <v>346</v>
      </c>
    </row>
    <row r="33" spans="1:6" x14ac:dyDescent="0.2">
      <c r="A33" t="s">
        <v>256</v>
      </c>
      <c r="B33" t="s">
        <v>324</v>
      </c>
      <c r="C33" t="s">
        <v>271</v>
      </c>
      <c r="D33" t="s">
        <v>344</v>
      </c>
      <c r="E33" t="s">
        <v>362</v>
      </c>
      <c r="F33" t="s">
        <v>346</v>
      </c>
    </row>
    <row r="34" spans="1:6" x14ac:dyDescent="0.2">
      <c r="A34" t="s">
        <v>256</v>
      </c>
      <c r="B34" t="s">
        <v>325</v>
      </c>
      <c r="C34" t="s">
        <v>271</v>
      </c>
      <c r="D34" t="s">
        <v>344</v>
      </c>
      <c r="E34" t="s">
        <v>363</v>
      </c>
      <c r="F34" t="s">
        <v>346</v>
      </c>
    </row>
    <row r="35" spans="1:6" x14ac:dyDescent="0.2">
      <c r="A35" t="s">
        <v>256</v>
      </c>
      <c r="B35" t="s">
        <v>328</v>
      </c>
      <c r="C35" t="s">
        <v>271</v>
      </c>
      <c r="D35" t="s">
        <v>344</v>
      </c>
      <c r="E35" t="s">
        <v>364</v>
      </c>
      <c r="F35" t="s">
        <v>346</v>
      </c>
    </row>
    <row r="36" spans="1:6" x14ac:dyDescent="0.2">
      <c r="A36" t="s">
        <v>256</v>
      </c>
      <c r="B36" t="s">
        <v>301</v>
      </c>
      <c r="C36" t="s">
        <v>271</v>
      </c>
      <c r="D36" t="s">
        <v>344</v>
      </c>
      <c r="E36" t="s">
        <v>352</v>
      </c>
      <c r="F36" t="s">
        <v>346</v>
      </c>
    </row>
    <row r="37" spans="1:6" x14ac:dyDescent="0.2">
      <c r="A37" t="s">
        <v>259</v>
      </c>
      <c r="B37" t="s">
        <v>330</v>
      </c>
      <c r="C37" t="s">
        <v>271</v>
      </c>
      <c r="D37" t="s">
        <v>344</v>
      </c>
      <c r="E37" t="s">
        <v>365</v>
      </c>
      <c r="F37" t="s">
        <v>346</v>
      </c>
    </row>
    <row r="38" spans="1:6" x14ac:dyDescent="0.2">
      <c r="A38" t="s">
        <v>259</v>
      </c>
      <c r="B38" t="s">
        <v>292</v>
      </c>
      <c r="C38" t="s">
        <v>271</v>
      </c>
      <c r="D38" t="s">
        <v>344</v>
      </c>
      <c r="E38" t="s">
        <v>349</v>
      </c>
      <c r="F38" t="s">
        <v>346</v>
      </c>
    </row>
    <row r="39" spans="1:6" x14ac:dyDescent="0.2">
      <c r="A39" t="s">
        <v>259</v>
      </c>
      <c r="B39" t="s">
        <v>331</v>
      </c>
      <c r="C39" t="s">
        <v>271</v>
      </c>
      <c r="D39" t="s">
        <v>344</v>
      </c>
      <c r="E39" t="s">
        <v>366</v>
      </c>
      <c r="F39" t="s">
        <v>346</v>
      </c>
    </row>
    <row r="40" spans="1:6" x14ac:dyDescent="0.2">
      <c r="A40" t="s">
        <v>259</v>
      </c>
      <c r="B40" t="s">
        <v>245</v>
      </c>
      <c r="C40" t="s">
        <v>271</v>
      </c>
      <c r="D40" t="s">
        <v>344</v>
      </c>
      <c r="E40" t="s">
        <v>351</v>
      </c>
      <c r="F40" t="s">
        <v>346</v>
      </c>
    </row>
    <row r="41" spans="1:6" x14ac:dyDescent="0.2">
      <c r="A41" t="s">
        <v>259</v>
      </c>
      <c r="B41" t="s">
        <v>289</v>
      </c>
      <c r="C41" t="s">
        <v>271</v>
      </c>
      <c r="D41" t="s">
        <v>344</v>
      </c>
      <c r="E41" t="s">
        <v>355</v>
      </c>
      <c r="F41" t="s">
        <v>346</v>
      </c>
    </row>
    <row r="42" spans="1:6" x14ac:dyDescent="0.2">
      <c r="A42" t="s">
        <v>259</v>
      </c>
      <c r="B42" t="s">
        <v>333</v>
      </c>
      <c r="C42" t="s">
        <v>271</v>
      </c>
      <c r="D42" t="s">
        <v>344</v>
      </c>
      <c r="E42" t="s">
        <v>367</v>
      </c>
      <c r="F42" t="s">
        <v>346</v>
      </c>
    </row>
    <row r="43" spans="1:6" x14ac:dyDescent="0.2">
      <c r="A43" t="s">
        <v>259</v>
      </c>
      <c r="B43" t="s">
        <v>334</v>
      </c>
      <c r="C43" t="s">
        <v>271</v>
      </c>
      <c r="D43" t="s">
        <v>344</v>
      </c>
      <c r="E43" t="s">
        <v>368</v>
      </c>
      <c r="F43" t="s">
        <v>346</v>
      </c>
    </row>
    <row r="44" spans="1:6" x14ac:dyDescent="0.2">
      <c r="A44" t="s">
        <v>259</v>
      </c>
      <c r="B44" t="s">
        <v>301</v>
      </c>
      <c r="C44" t="s">
        <v>271</v>
      </c>
      <c r="D44" t="s">
        <v>344</v>
      </c>
      <c r="E44" t="s">
        <v>352</v>
      </c>
      <c r="F44" t="s">
        <v>346</v>
      </c>
    </row>
    <row r="45" spans="1:6" x14ac:dyDescent="0.2">
      <c r="A45" t="s">
        <v>262</v>
      </c>
      <c r="B45" t="s">
        <v>330</v>
      </c>
      <c r="C45" t="s">
        <v>271</v>
      </c>
      <c r="D45" t="s">
        <v>344</v>
      </c>
      <c r="E45" t="s">
        <v>365</v>
      </c>
      <c r="F45" t="s">
        <v>346</v>
      </c>
    </row>
    <row r="46" spans="1:6" x14ac:dyDescent="0.2">
      <c r="A46" t="s">
        <v>262</v>
      </c>
      <c r="B46" t="s">
        <v>292</v>
      </c>
      <c r="C46" t="s">
        <v>271</v>
      </c>
      <c r="D46" t="s">
        <v>344</v>
      </c>
      <c r="E46" t="s">
        <v>349</v>
      </c>
      <c r="F46" t="s">
        <v>346</v>
      </c>
    </row>
    <row r="47" spans="1:6" x14ac:dyDescent="0.2">
      <c r="A47" t="s">
        <v>262</v>
      </c>
      <c r="B47" t="s">
        <v>337</v>
      </c>
      <c r="C47" t="s">
        <v>271</v>
      </c>
      <c r="D47" t="s">
        <v>344</v>
      </c>
      <c r="E47" t="s">
        <v>369</v>
      </c>
      <c r="F47" t="s">
        <v>346</v>
      </c>
    </row>
    <row r="48" spans="1:6" x14ac:dyDescent="0.2">
      <c r="A48" t="s">
        <v>262</v>
      </c>
      <c r="B48" t="s">
        <v>245</v>
      </c>
      <c r="C48" t="s">
        <v>271</v>
      </c>
      <c r="D48" t="s">
        <v>344</v>
      </c>
      <c r="E48" t="s">
        <v>351</v>
      </c>
      <c r="F48" t="s">
        <v>346</v>
      </c>
    </row>
    <row r="49" spans="1:6" x14ac:dyDescent="0.2">
      <c r="A49" t="s">
        <v>262</v>
      </c>
      <c r="B49" t="s">
        <v>289</v>
      </c>
      <c r="C49" t="s">
        <v>271</v>
      </c>
      <c r="D49" t="s">
        <v>344</v>
      </c>
      <c r="E49" t="s">
        <v>355</v>
      </c>
      <c r="F49" t="s">
        <v>346</v>
      </c>
    </row>
    <row r="50" spans="1:6" x14ac:dyDescent="0.2">
      <c r="A50" t="s">
        <v>262</v>
      </c>
      <c r="B50" t="s">
        <v>301</v>
      </c>
      <c r="C50" t="s">
        <v>271</v>
      </c>
      <c r="D50" t="s">
        <v>344</v>
      </c>
      <c r="E50" t="s">
        <v>352</v>
      </c>
      <c r="F50" t="s">
        <v>346</v>
      </c>
    </row>
  </sheetData>
  <pageMargins left="0.35" right="0.35" top="0.6" bottom="0.6" header="0.25" footer="0.2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>
    <tabColor rgb="FF9CA3AF"/>
  </sheetPr>
  <dimension ref="A1:F1"/>
  <sheetViews>
    <sheetView workbookViewId="0"/>
  </sheetViews>
  <sheetFormatPr baseColWidth="10" defaultColWidth="8.83203125" defaultRowHeight="15" x14ac:dyDescent="0.2"/>
  <sheetData>
    <row r="1" spans="1:6" x14ac:dyDescent="0.2">
      <c r="A1" s="8" t="s">
        <v>233</v>
      </c>
      <c r="B1" s="8" t="s">
        <v>370</v>
      </c>
      <c r="C1" s="8" t="s">
        <v>371</v>
      </c>
      <c r="D1" s="8" t="s">
        <v>372</v>
      </c>
      <c r="E1" s="8" t="s">
        <v>282</v>
      </c>
      <c r="F1" s="8" t="s">
        <v>373</v>
      </c>
    </row>
  </sheetData>
  <pageMargins left="0.35" right="0.35" top="0.6" bottom="0.6" header="0.25" footer="0.2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>
    <tabColor rgb="FF9CA3AF"/>
  </sheetPr>
  <dimension ref="A1:G1"/>
  <sheetViews>
    <sheetView workbookViewId="0"/>
  </sheetViews>
  <sheetFormatPr baseColWidth="10" defaultColWidth="8.83203125" defaultRowHeight="15" x14ac:dyDescent="0.2"/>
  <sheetData>
    <row r="1" spans="1:7" x14ac:dyDescent="0.2">
      <c r="A1" s="8" t="s">
        <v>374</v>
      </c>
      <c r="B1" s="8" t="s">
        <v>233</v>
      </c>
      <c r="C1" s="8" t="s">
        <v>340</v>
      </c>
      <c r="D1" s="8" t="s">
        <v>375</v>
      </c>
      <c r="E1" s="8" t="s">
        <v>376</v>
      </c>
      <c r="F1" s="8" t="s">
        <v>377</v>
      </c>
      <c r="G1" s="8" t="s">
        <v>378</v>
      </c>
    </row>
  </sheetData>
  <pageMargins left="0.35" right="0.35" top="0.6" bottom="0.6" header="0.25" footer="0.2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>
    <tabColor rgb="FF9CA3AF"/>
  </sheetPr>
  <dimension ref="A1:H1"/>
  <sheetViews>
    <sheetView workbookViewId="0"/>
  </sheetViews>
  <sheetFormatPr baseColWidth="10" defaultColWidth="8.83203125" defaultRowHeight="15" x14ac:dyDescent="0.2"/>
  <cols>
    <col min="1" max="1" width="20" customWidth="1"/>
    <col min="2" max="2" width="16" customWidth="1"/>
    <col min="3" max="3" width="18" customWidth="1"/>
    <col min="4" max="5" width="12" customWidth="1"/>
    <col min="6" max="6" width="18" customWidth="1"/>
    <col min="7" max="8" width="30" customWidth="1"/>
  </cols>
  <sheetData>
    <row r="1" spans="1:8" x14ac:dyDescent="0.2">
      <c r="A1" s="1" t="s">
        <v>379</v>
      </c>
      <c r="B1" s="1" t="s">
        <v>380</v>
      </c>
      <c r="C1" s="1" t="s">
        <v>233</v>
      </c>
      <c r="D1" s="1" t="s">
        <v>381</v>
      </c>
      <c r="E1" s="1" t="s">
        <v>382</v>
      </c>
      <c r="F1" s="1" t="s">
        <v>266</v>
      </c>
      <c r="G1" s="1" t="s">
        <v>383</v>
      </c>
      <c r="H1" s="1" t="s">
        <v>384</v>
      </c>
    </row>
  </sheetData>
  <pageMargins left="0.35" right="0.35" top="0.6" bottom="0.6" header="0.25" footer="0.2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F8B11-2CB2-7A4D-98EA-3FF1264913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42</vt:i4>
      </vt:variant>
    </vt:vector>
  </HeadingPairs>
  <TitlesOfParts>
    <vt:vector size="67" baseType="lpstr">
      <vt:lpstr>Home</vt:lpstr>
      <vt:lpstr>Dashboard</vt:lpstr>
      <vt:lpstr>Asistencias</vt:lpstr>
      <vt:lpstr>Clases</vt:lpstr>
      <vt:lpstr>Clientes</vt:lpstr>
      <vt:lpstr>Inscripciones</vt:lpstr>
      <vt:lpstr>Pagos</vt:lpstr>
      <vt:lpstr>Planes</vt:lpstr>
      <vt:lpstr>Profesores</vt:lpstr>
      <vt:lpstr>Asistencias por Clase</vt:lpstr>
      <vt:lpstr>Clases (Activas Inactivas)</vt:lpstr>
      <vt:lpstr>Clases por Profesor</vt:lpstr>
      <vt:lpstr>Clientes por Estado</vt:lpstr>
      <vt:lpstr>Clientes — Retención</vt:lpstr>
      <vt:lpstr>Ingresos por Concepto</vt:lpstr>
      <vt:lpstr>Ingresos por Mes</vt:lpstr>
      <vt:lpstr>Inscripciones por Plan</vt:lpstr>
      <vt:lpstr>Membresías con Saldo Pendiente</vt:lpstr>
      <vt:lpstr>Membresías Vencidas y Por Vence</vt:lpstr>
      <vt:lpstr>Pagos por Método</vt:lpstr>
      <vt:lpstr>Ana_Asistencias</vt:lpstr>
      <vt:lpstr>Ana_Clases</vt:lpstr>
      <vt:lpstr>Ana_Pagos</vt:lpstr>
      <vt:lpstr>Help</vt:lpstr>
      <vt:lpstr>_audit_log</vt:lpstr>
      <vt:lpstr>Ana_Asistencias!Área_de_impresión</vt:lpstr>
      <vt:lpstr>Ana_Clases!Área_de_impresión</vt:lpstr>
      <vt:lpstr>Ana_Pagos!Área_de_impresión</vt:lpstr>
      <vt:lpstr>Asistencias!Área_de_impresión</vt:lpstr>
      <vt:lpstr>'Asistencias por Clase'!Área_de_impresión</vt:lpstr>
      <vt:lpstr>Clases!Área_de_impresión</vt:lpstr>
      <vt:lpstr>'Clases (Activas Inactivas)'!Área_de_impresión</vt:lpstr>
      <vt:lpstr>'Clases por Profesor'!Área_de_impresión</vt:lpstr>
      <vt:lpstr>Clientes!Área_de_impresión</vt:lpstr>
      <vt:lpstr>'Clientes — Retención'!Área_de_impresión</vt:lpstr>
      <vt:lpstr>'Clientes por Estado'!Área_de_impresión</vt:lpstr>
      <vt:lpstr>Dashboard!Área_de_impresión</vt:lpstr>
      <vt:lpstr>Help!Área_de_impresión</vt:lpstr>
      <vt:lpstr>Home!Área_de_impresión</vt:lpstr>
      <vt:lpstr>'Ingresos por Concepto'!Área_de_impresión</vt:lpstr>
      <vt:lpstr>'Ingresos por Mes'!Área_de_impresión</vt:lpstr>
      <vt:lpstr>Inscripciones!Área_de_impresión</vt:lpstr>
      <vt:lpstr>'Inscripciones por Plan'!Área_de_impresión</vt:lpstr>
      <vt:lpstr>'Membresías con Saldo Pendiente'!Área_de_impresión</vt:lpstr>
      <vt:lpstr>'Membresías Vencidas y Por Vence'!Área_de_impresión</vt:lpstr>
      <vt:lpstr>Pagos!Área_de_impresión</vt:lpstr>
      <vt:lpstr>'Pagos por Método'!Área_de_impresión</vt:lpstr>
      <vt:lpstr>Planes!Área_de_impresión</vt:lpstr>
      <vt:lpstr>Profesores!Área_de_impresión</vt:lpstr>
      <vt:lpstr>Asistencias!Títulos_a_imprimir</vt:lpstr>
      <vt:lpstr>'Asistencias por Clase'!Títulos_a_imprimir</vt:lpstr>
      <vt:lpstr>Clases!Títulos_a_imprimir</vt:lpstr>
      <vt:lpstr>'Clases (Activas Inactivas)'!Títulos_a_imprimir</vt:lpstr>
      <vt:lpstr>'Clases por Profesor'!Títulos_a_imprimir</vt:lpstr>
      <vt:lpstr>Clientes!Títulos_a_imprimir</vt:lpstr>
      <vt:lpstr>'Clientes — Retención'!Títulos_a_imprimir</vt:lpstr>
      <vt:lpstr>'Clientes por Estado'!Títulos_a_imprimir</vt:lpstr>
      <vt:lpstr>'Ingresos por Concepto'!Títulos_a_imprimir</vt:lpstr>
      <vt:lpstr>'Ingresos por Mes'!Títulos_a_imprimir</vt:lpstr>
      <vt:lpstr>Inscripciones!Títulos_a_imprimir</vt:lpstr>
      <vt:lpstr>'Inscripciones por Plan'!Títulos_a_imprimir</vt:lpstr>
      <vt:lpstr>'Membresías con Saldo Pendiente'!Títulos_a_imprimir</vt:lpstr>
      <vt:lpstr>'Membresías Vencidas y Por Vence'!Títulos_a_imprimir</vt:lpstr>
      <vt:lpstr>Pagos!Títulos_a_imprimir</vt:lpstr>
      <vt:lpstr>'Pagos por Método'!Títulos_a_imprimir</vt:lpstr>
      <vt:lpstr>Planes!Títulos_a_imprimir</vt:lpstr>
      <vt:lpstr>Profesores!Títulos_a_imprimir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GimnasioDanza</dc:title>
  <dc:creator>SQLForge Excel target</dc:creator>
  <cp:lastModifiedBy>Angel Salazar</cp:lastModifiedBy>
  <dcterms:created xsi:type="dcterms:W3CDTF">2026-06-18T17:31:52Z</dcterms:created>
  <dcterms:modified xsi:type="dcterms:W3CDTF">2026-06-20T02:11:27Z</dcterms:modified>
</cp:coreProperties>
</file>