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tables/table7.xml" ContentType="application/vnd.openxmlformats-officedocument.spreadsheetml.table+xml"/>
  <Override PartName="/xl/comments7.xml" ContentType="application/vnd.openxmlformats-officedocument.spreadsheetml.comments+xml"/>
  <Override PartName="/xl/drawings/drawing10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tables/table8.xml" ContentType="application/vnd.openxmlformats-officedocument.spreadsheetml.table+xml"/>
  <Override PartName="/xl/comments8.xml" ContentType="application/vnd.openxmlformats-officedocument.spreadsheetml.comments+xml"/>
  <Override PartName="/xl/drawings/drawing11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tables/table9.xml" ContentType="application/vnd.openxmlformats-officedocument.spreadsheetml.table+xml"/>
  <Override PartName="/xl/comments9.xml" ContentType="application/vnd.openxmlformats-officedocument.spreadsheetml.comments+xml"/>
  <Override PartName="/xl/drawings/drawing12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tables/table10.xml" ContentType="application/vnd.openxmlformats-officedocument.spreadsheetml.table+xml"/>
  <Override PartName="/xl/comments10.xml" ContentType="application/vnd.openxmlformats-officedocument.spreadsheetml.comments+xml"/>
  <Override PartName="/xl/drawings/drawing13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tables/table11.xml" ContentType="application/vnd.openxmlformats-officedocument.spreadsheetml.table+xml"/>
  <Override PartName="/xl/comments11.xml" ContentType="application/vnd.openxmlformats-officedocument.spreadsheetml.comments+xml"/>
  <Override PartName="/xl/drawings/drawing14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tables/table12.xml" ContentType="application/vnd.openxmlformats-officedocument.spreadsheetml.table+xml"/>
  <Override PartName="/xl/comments12.xml" ContentType="application/vnd.openxmlformats-officedocument.spreadsheetml.comments+xml"/>
  <Override PartName="/xl/drawings/drawing15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tables/table13.xml" ContentType="application/vnd.openxmlformats-officedocument.spreadsheetml.table+xml"/>
  <Override PartName="/xl/comments13.xml" ContentType="application/vnd.openxmlformats-officedocument.spreadsheetml.comments+xml"/>
  <Override PartName="/xl/drawings/drawing16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tables/table14.xml" ContentType="application/vnd.openxmlformats-officedocument.spreadsheetml.table+xml"/>
  <Override PartName="/xl/comments14.xml" ContentType="application/vnd.openxmlformats-officedocument.spreadsheetml.comments+xml"/>
  <Override PartName="/xl/drawings/drawing17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tables/table15.xml" ContentType="application/vnd.openxmlformats-officedocument.spreadsheetml.table+xml"/>
  <Override PartName="/xl/comments15.xml" ContentType="application/vnd.openxmlformats-officedocument.spreadsheetml.comments+xml"/>
  <Override PartName="/xl/drawings/drawing18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tables/table16.xml" ContentType="application/vnd.openxmlformats-officedocument.spreadsheetml.table+xml"/>
  <Override PartName="/xl/comments16.xml" ContentType="application/vnd.openxmlformats-officedocument.spreadsheetml.comments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SSDWD2T/gic-projects/Inventarios-de-Llantera-mas-Conteo-de-Aceites/output/"/>
    </mc:Choice>
  </mc:AlternateContent>
  <xr:revisionPtr revIDLastSave="0" documentId="13_ncr:1_{95381229-3313-3342-A7DF-524D4EDF6C2C}" xr6:coauthVersionLast="47" xr6:coauthVersionMax="47" xr10:uidLastSave="{00000000-0000-0000-0000-000000000000}"/>
  <workbookProtection lockStructure="1"/>
  <bookViews>
    <workbookView xWindow="80" yWindow="620" windowWidth="22260" windowHeight="12640" xr2:uid="{00000000-000D-0000-FFFF-FFFF00000000}"/>
  </bookViews>
  <sheets>
    <sheet name="Home" sheetId="1" r:id="rId1"/>
    <sheet name="Dashboard" sheetId="2" r:id="rId2"/>
    <sheet name="Productos" sheetId="3" r:id="rId3"/>
    <sheet name="Stock por ubicacion" sheetId="4" r:id="rId4"/>
    <sheet name="Transacciones" sheetId="5" r:id="rId5"/>
    <sheet name="Ordenes de servicio" sheetId="6" r:id="rId6"/>
    <sheet name="Detalle de orden de servicio" sheetId="7" r:id="rId7"/>
    <sheet name="Ordenes de compra" sheetId="8" r:id="rId8"/>
    <sheet name="Detalle de orden de compra" sheetId="9" r:id="rId9"/>
    <sheet name="Conteos fisicos" sheetId="10" r:id="rId10"/>
    <sheet name="Detalle de conteo fisico" sheetId="11" r:id="rId11"/>
    <sheet name="Clientes" sheetId="12" r:id="rId12"/>
    <sheet name="Vehiculos" sheetId="13" r:id="rId13"/>
    <sheet name="Proveedores" sheetId="14" r:id="rId14"/>
    <sheet name="Ubicaciones" sheetId="15" r:id="rId15"/>
    <sheet name="Categorias de producto" sheetId="16" r:id="rId16"/>
    <sheet name="Marcas" sheetId="17" r:id="rId17"/>
    <sheet name="Unidades" sheetId="18" r:id="rId18"/>
    <sheet name="Rpt_Stock_Categoria" sheetId="19" r:id="rId19"/>
    <sheet name="Rpt_Valor_Inventario" sheetId="20" r:id="rId20"/>
    <sheet name="Rpt_Stock_Bajo" sheetId="21" r:id="rId21"/>
    <sheet name="Rpt_Movimientos" sheetId="22" r:id="rId22"/>
    <sheet name="Rpt_Rotacion" sheetId="23" r:id="rId23"/>
    <sheet name="Rpt_Conteo_Fisico" sheetId="24" r:id="rId24"/>
    <sheet name="Rpt_Antiguedad_Caducidad" sheetId="25" r:id="rId25"/>
    <sheet name="Rpt_DOT" sheetId="26" r:id="rId26"/>
    <sheet name="Ana_Movimientos" sheetId="27" r:id="rId27"/>
    <sheet name="Ana_Inventario" sheetId="28" r:id="rId28"/>
    <sheet name="Ana_Compras" sheetId="29" r:id="rId29"/>
    <sheet name="Ana_Servicios" sheetId="30" r:id="rId30"/>
    <sheet name="Help" sheetId="31" r:id="rId31"/>
    <sheet name="_meta_settings" sheetId="32" state="veryHidden" r:id="rId32"/>
    <sheet name="_meta_entities" sheetId="33" state="veryHidden" r:id="rId33"/>
    <sheet name="_meta_columns" sheetId="34" state="veryHidden" r:id="rId34"/>
    <sheet name="_meta_validation" sheetId="35" state="veryHidden" r:id="rId35"/>
    <sheet name="_meta_workflow" sheetId="36" state="veryHidden" r:id="rId36"/>
    <sheet name="_audit_log" sheetId="37" state="hidden" r:id="rId37"/>
  </sheets>
  <functionGroups builtInGroupCount="19"/>
  <definedNames>
    <definedName name="_xlnm.Print_Area" localSheetId="28">Ana_Compras!$A$1:$L$38</definedName>
    <definedName name="_xlnm.Print_Area" localSheetId="27">Ana_Inventario!$A$1:$L$72</definedName>
    <definedName name="_xlnm.Print_Area" localSheetId="26">Ana_Movimientos!$A$1:$L$72</definedName>
    <definedName name="_xlnm.Print_Area" localSheetId="29">Ana_Servicios!$A$1:$L$38</definedName>
    <definedName name="_xlnm.Print_Area" localSheetId="15">'Categorias de producto'!$A$1:$D$5</definedName>
    <definedName name="_xlnm.Print_Area" localSheetId="11">Clientes!$A$1:$I$4</definedName>
    <definedName name="_xlnm.Print_Area" localSheetId="9">'Conteos fisicos'!$A$1:$G$2</definedName>
    <definedName name="_xlnm.Print_Area" localSheetId="1">Dashboard!$A$1:$I$42</definedName>
    <definedName name="_xlnm.Print_Area" localSheetId="10">'Detalle de conteo fisico'!$A$1:$K$12</definedName>
    <definedName name="_xlnm.Print_Area" localSheetId="8">'Detalle de orden de compra'!$A$1:$I$6</definedName>
    <definedName name="_xlnm.Print_Area" localSheetId="6">'Detalle de orden de servicio'!$A$1:$I$6</definedName>
    <definedName name="_xlnm.Print_Area" localSheetId="30">Help!$A$1:$C$28</definedName>
    <definedName name="_xlnm.Print_Area" localSheetId="0">Home!$A$1:$I$31</definedName>
    <definedName name="_xlnm.Print_Area" localSheetId="16">Marcas!$A$1:$C$9</definedName>
    <definedName name="_xlnm.Print_Area" localSheetId="7">'Ordenes de compra'!$A$1:$M$3</definedName>
    <definedName name="_xlnm.Print_Area" localSheetId="5">'Ordenes de servicio'!$A$1:$Q$6</definedName>
    <definedName name="_xlnm.Print_Area" localSheetId="2">Productos!$A$1:$AJ$12</definedName>
    <definedName name="_xlnm.Print_Area" localSheetId="13">Proveedores!$A$1:$L$5</definedName>
    <definedName name="_xlnm.Print_Area" localSheetId="24">Rpt_Antiguedad_Caducidad!$A$1:$F$8</definedName>
    <definedName name="_xlnm.Print_Area" localSheetId="23">Rpt_Conteo_Fisico!$A$1:$H$13</definedName>
    <definedName name="_xlnm.Print_Area" localSheetId="25">Rpt_DOT!$A$1:$H$4</definedName>
    <definedName name="_xlnm.Print_Area" localSheetId="21">Rpt_Movimientos!$A$1:$K$13</definedName>
    <definedName name="_xlnm.Print_Area" localSheetId="22">Rpt_Rotacion!$A$1:$G$13</definedName>
    <definedName name="_xlnm.Print_Area" localSheetId="20">Rpt_Stock_Bajo!$A$1:$G$3</definedName>
    <definedName name="_xlnm.Print_Area" localSheetId="18">Rpt_Stock_Categoria!$A$1:$H$13</definedName>
    <definedName name="_xlnm.Print_Area" localSheetId="19">Rpt_Valor_Inventario!$A$1:$H$13</definedName>
    <definedName name="_xlnm.Print_Area" localSheetId="3">'Stock por ubicacion'!$A$1:$G$12</definedName>
    <definedName name="_xlnm.Print_Area" localSheetId="4">Transacciones!$A$1:$Q$12</definedName>
    <definedName name="_xlnm.Print_Area" localSheetId="14">Ubicaciones!$A$1:$H$8</definedName>
    <definedName name="_xlnm.Print_Area" localSheetId="17">Unidades!$A$1:$C$7</definedName>
    <definedName name="_xlnm.Print_Area" localSheetId="12">Vehiculos!$A$1:$K$6</definedName>
    <definedName name="dv_detalle_conteo_fisico_conteo_id" hidden="1">'Conteos fisicos'!$A$2:$A$1048576</definedName>
    <definedName name="dv_detalle_conteo_fisico_producto_id" hidden="1">Productos!$A$2:$A$1048576</definedName>
    <definedName name="dv_detalle_conteo_fisico_ubicacion_id" hidden="1">Ubicaciones!$A$2:$A$1048576</definedName>
    <definedName name="dv_detalle_orden_compra_orden_compra_id" hidden="1">'Ordenes de compra'!$A$2:$A$1048576</definedName>
    <definedName name="dv_detalle_orden_compra_producto_id" hidden="1">Productos!$A$2:$A$1048576</definedName>
    <definedName name="dv_detalle_orden_servicio_orden_servicio_id" hidden="1">'Ordenes de servicio'!$A$2:$A$1048576</definedName>
    <definedName name="dv_detalle_orden_servicio_producto_id" hidden="1">Productos!$A$2:$A$1048576</definedName>
    <definedName name="dv_ordenes_compra_proveedor_id" hidden="1">Proveedores!$A$2:$A$1048576</definedName>
    <definedName name="dv_ordenes_servicio_cliente_id" hidden="1">Clientes!$A$2:$A$1048576</definedName>
    <definedName name="dv_ordenes_servicio_vehiculo_id" hidden="1">Vehiculos!$A$2:$A$1048576</definedName>
    <definedName name="dv_productos_categoria_id" hidden="1">'Categorias de producto'!$A$2:$A$1048576</definedName>
    <definedName name="dv_productos_marca_id" hidden="1">Marcas!$A$2:$A$1048576</definedName>
    <definedName name="dv_productos_proveedor_predeterminado_id" hidden="1">Proveedores!$A$2:$A$1048576</definedName>
    <definedName name="dv_productos_ubicacion_predeterminada_id" hidden="1">Ubicaciones!$A$2:$A$1048576</definedName>
    <definedName name="dv_productos_unidad_id" hidden="1">Unidades!$A$2:$A$1048576</definedName>
    <definedName name="dv_stock_por_ubicacion_producto_id" hidden="1">Productos!$A$2:$A$1048576</definedName>
    <definedName name="dv_stock_por_ubicacion_ubicacion_id" hidden="1">Ubicaciones!$A$2:$A$1048576</definedName>
    <definedName name="dv_transacciones_producto_id" hidden="1">Productos!$A$2:$A$1048576</definedName>
    <definedName name="dv_transacciones_ubicacion_destino_id" hidden="1">Ubicaciones!$A$2:$A$1048576</definedName>
    <definedName name="dv_transacciones_ubicacion_id" hidden="1">Ubicaciones!$A$2:$A$1048576</definedName>
    <definedName name="dv_vehiculos_cliente_id" hidden="1">Clientes!$A$2:$A$1048576</definedName>
    <definedName name="_xlnm.Print_Titles" localSheetId="15">'Categorias de producto'!$1:$1</definedName>
    <definedName name="_xlnm.Print_Titles" localSheetId="11">Clientes!$1:$1</definedName>
    <definedName name="_xlnm.Print_Titles" localSheetId="9">'Conteos fisicos'!$1:$1</definedName>
    <definedName name="_xlnm.Print_Titles" localSheetId="10">'Detalle de conteo fisico'!$1:$1</definedName>
    <definedName name="_xlnm.Print_Titles" localSheetId="8">'Detalle de orden de compra'!$1:$1</definedName>
    <definedName name="_xlnm.Print_Titles" localSheetId="6">'Detalle de orden de servicio'!$1:$1</definedName>
    <definedName name="_xlnm.Print_Titles" localSheetId="16">Marcas!$1:$1</definedName>
    <definedName name="_xlnm.Print_Titles" localSheetId="7">'Ordenes de compra'!$1:$1</definedName>
    <definedName name="_xlnm.Print_Titles" localSheetId="5">'Ordenes de servicio'!$1:$1</definedName>
    <definedName name="_xlnm.Print_Titles" localSheetId="2">Productos!$1:$1</definedName>
    <definedName name="_xlnm.Print_Titles" localSheetId="13">Proveedores!$1:$1</definedName>
    <definedName name="_xlnm.Print_Titles" localSheetId="24">Rpt_Antiguedad_Caducidad!$1:$1</definedName>
    <definedName name="_xlnm.Print_Titles" localSheetId="23">Rpt_Conteo_Fisico!$1:$1</definedName>
    <definedName name="_xlnm.Print_Titles" localSheetId="25">Rpt_DOT!$1:$1</definedName>
    <definedName name="_xlnm.Print_Titles" localSheetId="21">Rpt_Movimientos!$1:$1</definedName>
    <definedName name="_xlnm.Print_Titles" localSheetId="22">Rpt_Rotacion!$1:$1</definedName>
    <definedName name="_xlnm.Print_Titles" localSheetId="20">Rpt_Stock_Bajo!$1:$1</definedName>
    <definedName name="_xlnm.Print_Titles" localSheetId="18">Rpt_Stock_Categoria!$1:$1</definedName>
    <definedName name="_xlnm.Print_Titles" localSheetId="19">Rpt_Valor_Inventario!$1:$1</definedName>
    <definedName name="_xlnm.Print_Titles" localSheetId="3">'Stock por ubicacion'!$1:$1</definedName>
    <definedName name="_xlnm.Print_Titles" localSheetId="4">Transacciones!$1:$1</definedName>
    <definedName name="_xlnm.Print_Titles" localSheetId="14">Ubicaciones!$1:$1</definedName>
    <definedName name="_xlnm.Print_Titles" localSheetId="17">Unidades!$1:$1</definedName>
    <definedName name="_xlnm.Print_Titles" localSheetId="12">Vehiculos!$1:$1</definedName>
  </definedNames>
  <calcPr calcId="191029"/>
  <pivotCaches>
    <pivotCache cacheId="86" r:id="rId38"/>
    <pivotCache cacheId="91" r:id="rId39"/>
    <pivotCache cacheId="95" r:id="rId40"/>
    <pivotCache cacheId="100" r:id="rId41"/>
    <pivotCache cacheId="104" r:id="rId42"/>
    <pivotCache cacheId="108" r:id="rId4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26" l="1"/>
  <c r="F8" i="25"/>
  <c r="G13" i="24"/>
  <c r="F13" i="24"/>
  <c r="E13" i="24"/>
  <c r="F13" i="23"/>
  <c r="E13" i="23"/>
  <c r="D13" i="23"/>
  <c r="C13" i="23"/>
  <c r="D13" i="22"/>
  <c r="C3" i="21"/>
  <c r="H13" i="20"/>
  <c r="F13" i="20"/>
  <c r="D13" i="20"/>
  <c r="H13" i="19"/>
  <c r="F13" i="19"/>
  <c r="D13" i="19"/>
  <c r="D6" i="13"/>
  <c r="D5" i="13"/>
  <c r="D4" i="13"/>
  <c r="D3" i="13"/>
  <c r="D2" i="13"/>
  <c r="K12" i="11"/>
  <c r="H12" i="11"/>
  <c r="D12" i="11"/>
  <c r="K11" i="11"/>
  <c r="H11" i="11"/>
  <c r="D11" i="11"/>
  <c r="K10" i="11"/>
  <c r="H10" i="11"/>
  <c r="D10" i="11"/>
  <c r="K9" i="11"/>
  <c r="H9" i="11"/>
  <c r="D9" i="11"/>
  <c r="K8" i="11"/>
  <c r="H8" i="11"/>
  <c r="D8" i="11"/>
  <c r="K7" i="11"/>
  <c r="H7" i="11"/>
  <c r="D7" i="11"/>
  <c r="K6" i="11"/>
  <c r="H6" i="11"/>
  <c r="D6" i="11"/>
  <c r="K5" i="11"/>
  <c r="H5" i="11"/>
  <c r="D5" i="11"/>
  <c r="K4" i="11"/>
  <c r="H4" i="11"/>
  <c r="D4" i="11"/>
  <c r="K3" i="11"/>
  <c r="H3" i="11"/>
  <c r="D3" i="11"/>
  <c r="K2" i="11"/>
  <c r="H2" i="11"/>
  <c r="D2" i="11"/>
  <c r="H6" i="9"/>
  <c r="E6" i="9"/>
  <c r="H5" i="9"/>
  <c r="E5" i="9"/>
  <c r="H4" i="9"/>
  <c r="E4" i="9"/>
  <c r="H3" i="9"/>
  <c r="E3" i="9"/>
  <c r="H2" i="9"/>
  <c r="E2" i="9"/>
  <c r="J3" i="8"/>
  <c r="J2" i="8"/>
  <c r="H6" i="7"/>
  <c r="E6" i="7"/>
  <c r="H5" i="7"/>
  <c r="E5" i="7"/>
  <c r="H4" i="7"/>
  <c r="E4" i="7"/>
  <c r="H3" i="7"/>
  <c r="E3" i="7"/>
  <c r="H2" i="7"/>
  <c r="E2" i="7"/>
  <c r="Q6" i="6"/>
  <c r="C6" i="6"/>
  <c r="Q5" i="6"/>
  <c r="C5" i="6"/>
  <c r="Q4" i="6"/>
  <c r="C4" i="6"/>
  <c r="Q3" i="6"/>
  <c r="C3" i="6"/>
  <c r="Q2" i="6"/>
  <c r="C2" i="6"/>
  <c r="P12" i="5"/>
  <c r="N12" i="5"/>
  <c r="J12" i="5"/>
  <c r="P11" i="5"/>
  <c r="N11" i="5"/>
  <c r="J11" i="5"/>
  <c r="P10" i="5"/>
  <c r="N10" i="5"/>
  <c r="J10" i="5"/>
  <c r="P9" i="5"/>
  <c r="N9" i="5"/>
  <c r="J9" i="5"/>
  <c r="P8" i="5"/>
  <c r="N8" i="5"/>
  <c r="J8" i="5"/>
  <c r="P7" i="5"/>
  <c r="N7" i="5"/>
  <c r="J7" i="5"/>
  <c r="P6" i="5"/>
  <c r="N6" i="5"/>
  <c r="J6" i="5"/>
  <c r="P5" i="5"/>
  <c r="N5" i="5"/>
  <c r="J5" i="5"/>
  <c r="P4" i="5"/>
  <c r="N4" i="5"/>
  <c r="J4" i="5"/>
  <c r="P3" i="5"/>
  <c r="N3" i="5"/>
  <c r="J3" i="5"/>
  <c r="P2" i="5"/>
  <c r="N2" i="5"/>
  <c r="J2" i="5"/>
  <c r="F12" i="4"/>
  <c r="D12" i="4"/>
  <c r="F11" i="4"/>
  <c r="D11" i="4"/>
  <c r="F10" i="4"/>
  <c r="D10" i="4"/>
  <c r="F9" i="4"/>
  <c r="D9" i="4"/>
  <c r="F8" i="4"/>
  <c r="D8" i="4"/>
  <c r="F7" i="4"/>
  <c r="D7" i="4"/>
  <c r="F6" i="4"/>
  <c r="D6" i="4"/>
  <c r="F5" i="4"/>
  <c r="D5" i="4"/>
  <c r="F4" i="4"/>
  <c r="D4" i="4"/>
  <c r="F3" i="4"/>
  <c r="D3" i="4"/>
  <c r="F2" i="4"/>
  <c r="D2" i="4"/>
  <c r="S12" i="3"/>
  <c r="Q12" i="3"/>
  <c r="J12" i="3"/>
  <c r="H12" i="3"/>
  <c r="F12" i="3"/>
  <c r="S11" i="3"/>
  <c r="Q11" i="3"/>
  <c r="J11" i="3"/>
  <c r="H11" i="3"/>
  <c r="F11" i="3"/>
  <c r="S10" i="3"/>
  <c r="Q10" i="3"/>
  <c r="J10" i="3"/>
  <c r="H10" i="3"/>
  <c r="F10" i="3"/>
  <c r="S9" i="3"/>
  <c r="Q9" i="3"/>
  <c r="J9" i="3"/>
  <c r="H9" i="3"/>
  <c r="F9" i="3"/>
  <c r="S8" i="3"/>
  <c r="Q8" i="3"/>
  <c r="J8" i="3"/>
  <c r="H8" i="3"/>
  <c r="F8" i="3"/>
  <c r="S7" i="3"/>
  <c r="Q7" i="3"/>
  <c r="J7" i="3"/>
  <c r="H7" i="3"/>
  <c r="F7" i="3"/>
  <c r="S6" i="3"/>
  <c r="Q6" i="3"/>
  <c r="J6" i="3"/>
  <c r="H6" i="3"/>
  <c r="F6" i="3"/>
  <c r="S5" i="3"/>
  <c r="Q5" i="3"/>
  <c r="J5" i="3"/>
  <c r="H5" i="3"/>
  <c r="F5" i="3"/>
  <c r="S4" i="3"/>
  <c r="Q4" i="3"/>
  <c r="J4" i="3"/>
  <c r="H4" i="3"/>
  <c r="F4" i="3"/>
  <c r="S3" i="3"/>
  <c r="Q3" i="3"/>
  <c r="J3" i="3"/>
  <c r="H3" i="3"/>
  <c r="F3" i="3"/>
  <c r="S2" i="3"/>
  <c r="Q2" i="3"/>
  <c r="J2" i="3"/>
  <c r="H2" i="3"/>
  <c r="F2" i="3"/>
  <c r="L41" i="2"/>
  <c r="L40" i="2"/>
  <c r="L39" i="2"/>
  <c r="L38" i="2"/>
  <c r="L37" i="2"/>
  <c r="L36" i="2"/>
  <c r="L35" i="2"/>
  <c r="O34" i="2"/>
  <c r="L34" i="2"/>
  <c r="O33" i="2"/>
  <c r="L33" i="2"/>
  <c r="O32" i="2"/>
  <c r="L32" i="2"/>
  <c r="O31" i="2"/>
  <c r="L31" i="2"/>
  <c r="O19" i="2"/>
  <c r="L19" i="2"/>
  <c r="O18" i="2"/>
  <c r="L18" i="2"/>
  <c r="O17" i="2"/>
  <c r="L17" i="2"/>
  <c r="O16" i="2"/>
  <c r="L16" i="2"/>
  <c r="B12" i="2"/>
  <c r="H9" i="2"/>
  <c r="F9" i="2"/>
  <c r="D9" i="2"/>
  <c r="B9" i="2"/>
  <c r="H6" i="2"/>
  <c r="F6" i="2"/>
  <c r="D6" i="2"/>
  <c r="B6" i="2"/>
  <c r="B22" i="1"/>
  <c r="H19" i="1"/>
  <c r="E19" i="1"/>
  <c r="B19" i="1"/>
  <c r="H16" i="1"/>
  <c r="E16" i="1"/>
  <c r="B16" i="1"/>
  <c r="H13" i="1"/>
  <c r="E13" i="1"/>
  <c r="B13" i="1"/>
  <c r="H10" i="1"/>
  <c r="E10" i="1"/>
  <c r="B10" i="1"/>
  <c r="H7" i="1"/>
  <c r="E7" i="1"/>
  <c r="B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SQLForge</author>
  </authors>
  <commentList>
    <comment ref="A1" authorId="0" shapeId="0" xr:uid="{00000000-0006-0000-0200-000001000000}">
      <text>
        <r>
          <rPr>
            <b/>
            <sz val="9"/>
            <color indexed="81"/>
            <rFont val="Calibri"/>
            <family val="2"/>
          </rPr>
          <t>Primary key.</t>
        </r>
      </text>
    </comment>
    <comment ref="E1" authorId="0" shapeId="0" xr:uid="{00000000-0006-0000-0200-000002000000}">
      <text>
        <r>
          <rPr>
            <b/>
            <sz val="9"/>
            <color indexed="81"/>
            <rFont val="Calibri"/>
            <family val="2"/>
          </rPr>
          <t>References Categorias de producto.</t>
        </r>
      </text>
    </comment>
    <comment ref="F1" authorId="0" shapeId="0" xr:uid="{00000000-0006-0000-0200-000003000000}">
      <text>
        <r>
          <rPr>
            <b/>
            <sz val="9"/>
            <color indexed="81"/>
            <rFont val="Calibri"/>
            <family val="2"/>
          </rPr>
          <t>Lookup label filled from the referenced table.</t>
        </r>
      </text>
    </comment>
    <comment ref="G1" authorId="0" shapeId="0" xr:uid="{00000000-0006-0000-0200-000004000000}">
      <text>
        <r>
          <rPr>
            <b/>
            <sz val="9"/>
            <color indexed="81"/>
            <rFont val="Calibri"/>
            <family val="2"/>
          </rPr>
          <t>References Marcas.</t>
        </r>
      </text>
    </comment>
    <comment ref="H1" authorId="0" shapeId="0" xr:uid="{00000000-0006-0000-0200-000005000000}">
      <text>
        <r>
          <rPr>
            <b/>
            <sz val="9"/>
            <color indexed="81"/>
            <rFont val="Calibri"/>
            <family val="2"/>
          </rPr>
          <t>Lookup label filled from the referenced table.</t>
        </r>
      </text>
    </comment>
    <comment ref="I1" authorId="0" shapeId="0" xr:uid="{00000000-0006-0000-0200-000006000000}">
      <text>
        <r>
          <rPr>
            <b/>
            <sz val="9"/>
            <color indexed="81"/>
            <rFont val="Calibri"/>
            <family val="2"/>
          </rPr>
          <t>References Unidades.</t>
        </r>
      </text>
    </comment>
    <comment ref="J1" authorId="0" shapeId="0" xr:uid="{00000000-0006-0000-0200-000007000000}">
      <text>
        <r>
          <rPr>
            <b/>
            <sz val="9"/>
            <color indexed="81"/>
            <rFont val="Calibri"/>
            <family val="2"/>
          </rPr>
          <t>Lookup label filled from the referenced table.</t>
        </r>
      </text>
    </comment>
    <comment ref="P1" authorId="0" shapeId="0" xr:uid="{00000000-0006-0000-0200-000008000000}">
      <text>
        <r>
          <rPr>
            <b/>
            <sz val="9"/>
            <color indexed="81"/>
            <rFont val="Calibri"/>
            <family val="2"/>
          </rPr>
          <t>References Ubicaciones.</t>
        </r>
      </text>
    </comment>
    <comment ref="Q1" authorId="0" shapeId="0" xr:uid="{00000000-0006-0000-0200-000009000000}">
      <text>
        <r>
          <rPr>
            <b/>
            <sz val="9"/>
            <color indexed="81"/>
            <rFont val="Calibri"/>
            <family val="2"/>
          </rPr>
          <t>Lookup label filled from the referenced table.</t>
        </r>
      </text>
    </comment>
    <comment ref="R1" authorId="0" shapeId="0" xr:uid="{00000000-0006-0000-0200-00000A000000}">
      <text>
        <r>
          <rPr>
            <b/>
            <sz val="9"/>
            <color indexed="81"/>
            <rFont val="Calibri"/>
            <family val="2"/>
          </rPr>
          <t>References Proveedores.</t>
        </r>
      </text>
    </comment>
    <comment ref="S1" authorId="0" shapeId="0" xr:uid="{00000000-0006-0000-0200-00000B000000}">
      <text>
        <r>
          <rPr>
            <b/>
            <sz val="9"/>
            <color indexed="81"/>
            <rFont val="Calibri"/>
            <family val="2"/>
          </rPr>
          <t>Lookup label filled from the referenced table.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SQLForge</author>
  </authors>
  <commentList>
    <comment ref="A1" authorId="0" shapeId="0" xr:uid="{00000000-0006-0000-0300-000001000000}">
      <text>
        <r>
          <rPr>
            <b/>
            <sz val="9"/>
            <color indexed="81"/>
            <rFont val="Calibri"/>
            <family val="2"/>
          </rPr>
          <t>Primary key.</t>
        </r>
      </text>
    </comment>
    <comment ref="C1" authorId="0" shapeId="0" xr:uid="{00000000-0006-0000-0300-000002000000}">
      <text>
        <r>
          <rPr>
            <b/>
            <sz val="9"/>
            <color indexed="81"/>
            <rFont val="Calibri"/>
            <family val="2"/>
          </rPr>
          <t>References Productos.</t>
        </r>
      </text>
    </comment>
    <comment ref="D1" authorId="0" shapeId="0" xr:uid="{00000000-0006-0000-0300-000003000000}">
      <text>
        <r>
          <rPr>
            <b/>
            <sz val="9"/>
            <color indexed="81"/>
            <rFont val="Calibri"/>
            <family val="2"/>
          </rPr>
          <t>Lookup label filled from the referenced table.</t>
        </r>
      </text>
    </comment>
    <comment ref="E1" authorId="0" shapeId="0" xr:uid="{00000000-0006-0000-0300-000004000000}">
      <text>
        <r>
          <rPr>
            <b/>
            <sz val="9"/>
            <color indexed="81"/>
            <rFont val="Calibri"/>
            <family val="2"/>
          </rPr>
          <t>References Ubicaciones.</t>
        </r>
      </text>
    </comment>
    <comment ref="F1" authorId="0" shapeId="0" xr:uid="{00000000-0006-0000-0300-000005000000}">
      <text>
        <r>
          <rPr>
            <b/>
            <sz val="9"/>
            <color indexed="81"/>
            <rFont val="Calibri"/>
            <family val="2"/>
          </rPr>
          <t>Lookup label filled from the referenced table.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SQLForge</author>
  </authors>
  <commentList>
    <comment ref="A1" authorId="0" shapeId="0" xr:uid="{00000000-0006-0000-0400-000001000000}">
      <text>
        <r>
          <rPr>
            <b/>
            <sz val="9"/>
            <color indexed="81"/>
            <rFont val="Calibri"/>
            <family val="2"/>
          </rPr>
          <t>Primary key.</t>
        </r>
      </text>
    </comment>
    <comment ref="I1" authorId="0" shapeId="0" xr:uid="{00000000-0006-0000-0400-000002000000}">
      <text>
        <r>
          <rPr>
            <b/>
            <sz val="9"/>
            <color indexed="81"/>
            <rFont val="Calibri"/>
            <family val="2"/>
          </rPr>
          <t>References Productos.</t>
        </r>
      </text>
    </comment>
    <comment ref="J1" authorId="0" shapeId="0" xr:uid="{00000000-0006-0000-0400-000003000000}">
      <text>
        <r>
          <rPr>
            <b/>
            <sz val="9"/>
            <color indexed="81"/>
            <rFont val="Calibri"/>
            <family val="2"/>
          </rPr>
          <t>Lookup label filled from the referenced table.</t>
        </r>
      </text>
    </comment>
    <comment ref="M1" authorId="0" shapeId="0" xr:uid="{00000000-0006-0000-0400-000004000000}">
      <text>
        <r>
          <rPr>
            <b/>
            <sz val="9"/>
            <color indexed="81"/>
            <rFont val="Calibri"/>
            <family val="2"/>
          </rPr>
          <t>References Ubicaciones.</t>
        </r>
      </text>
    </comment>
    <comment ref="N1" authorId="0" shapeId="0" xr:uid="{00000000-0006-0000-0400-000005000000}">
      <text>
        <r>
          <rPr>
            <b/>
            <sz val="9"/>
            <color indexed="81"/>
            <rFont val="Calibri"/>
            <family val="2"/>
          </rPr>
          <t>Lookup label filled from the referenced table.</t>
        </r>
      </text>
    </comment>
    <comment ref="O1" authorId="0" shapeId="0" xr:uid="{00000000-0006-0000-0400-000006000000}">
      <text>
        <r>
          <rPr>
            <b/>
            <sz val="9"/>
            <color indexed="81"/>
            <rFont val="Calibri"/>
            <family val="2"/>
          </rPr>
          <t>References Ubicaciones.</t>
        </r>
      </text>
    </comment>
    <comment ref="P1" authorId="0" shapeId="0" xr:uid="{00000000-0006-0000-0400-000007000000}">
      <text>
        <r>
          <rPr>
            <b/>
            <sz val="9"/>
            <color indexed="81"/>
            <rFont val="Calibri"/>
            <family val="2"/>
          </rPr>
          <t>Lookup label filled from the referenced table.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SQLForge</author>
  </authors>
  <commentList>
    <comment ref="A1" authorId="0" shapeId="0" xr:uid="{00000000-0006-0000-0500-000001000000}">
      <text>
        <r>
          <rPr>
            <b/>
            <sz val="9"/>
            <color indexed="81"/>
            <rFont val="Calibri"/>
            <family val="2"/>
          </rPr>
          <t>Primary key.</t>
        </r>
      </text>
    </comment>
    <comment ref="B1" authorId="0" shapeId="0" xr:uid="{00000000-0006-0000-0500-000002000000}">
      <text>
        <r>
          <rPr>
            <b/>
            <sz val="9"/>
            <color indexed="81"/>
            <rFont val="Calibri"/>
            <family val="2"/>
          </rPr>
          <t>References Clientes.</t>
        </r>
      </text>
    </comment>
    <comment ref="C1" authorId="0" shapeId="0" xr:uid="{00000000-0006-0000-0500-000003000000}">
      <text>
        <r>
          <rPr>
            <b/>
            <sz val="9"/>
            <color indexed="81"/>
            <rFont val="Calibri"/>
            <family val="2"/>
          </rPr>
          <t>Lookup label filled from the referenced table.</t>
        </r>
      </text>
    </comment>
    <comment ref="P1" authorId="0" shapeId="0" xr:uid="{00000000-0006-0000-0500-000004000000}">
      <text>
        <r>
          <rPr>
            <b/>
            <sz val="9"/>
            <color indexed="81"/>
            <rFont val="Calibri"/>
            <family val="2"/>
          </rPr>
          <t>References Vehiculos.</t>
        </r>
      </text>
    </comment>
    <comment ref="Q1" authorId="0" shapeId="0" xr:uid="{00000000-0006-0000-0500-000005000000}">
      <text>
        <r>
          <rPr>
            <b/>
            <sz val="9"/>
            <color indexed="81"/>
            <rFont val="Calibri"/>
            <family val="2"/>
          </rPr>
          <t>Lookup label filled from the referenced table.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SQLForge</author>
  </authors>
  <commentList>
    <comment ref="A1" authorId="0" shapeId="0" xr:uid="{00000000-0006-0000-0600-000001000000}">
      <text>
        <r>
          <rPr>
            <b/>
            <sz val="9"/>
            <color indexed="81"/>
            <rFont val="Calibri"/>
            <family val="2"/>
          </rPr>
          <t>Primary key.</t>
        </r>
      </text>
    </comment>
    <comment ref="D1" authorId="0" shapeId="0" xr:uid="{00000000-0006-0000-0600-000002000000}">
      <text>
        <r>
          <rPr>
            <b/>
            <sz val="9"/>
            <color indexed="81"/>
            <rFont val="Calibri"/>
            <family val="2"/>
          </rPr>
          <t>References Ordenes de servicio.</t>
        </r>
      </text>
    </comment>
    <comment ref="E1" authorId="0" shapeId="0" xr:uid="{00000000-0006-0000-0600-000003000000}">
      <text>
        <r>
          <rPr>
            <b/>
            <sz val="9"/>
            <color indexed="81"/>
            <rFont val="Calibri"/>
            <family val="2"/>
          </rPr>
          <t>Lookup label filled from the referenced table.</t>
        </r>
      </text>
    </comment>
    <comment ref="G1" authorId="0" shapeId="0" xr:uid="{00000000-0006-0000-0600-000004000000}">
      <text>
        <r>
          <rPr>
            <b/>
            <sz val="9"/>
            <color indexed="81"/>
            <rFont val="Calibri"/>
            <family val="2"/>
          </rPr>
          <t>References Productos.</t>
        </r>
      </text>
    </comment>
    <comment ref="H1" authorId="0" shapeId="0" xr:uid="{00000000-0006-0000-0600-000005000000}">
      <text>
        <r>
          <rPr>
            <b/>
            <sz val="9"/>
            <color indexed="81"/>
            <rFont val="Calibri"/>
            <family val="2"/>
          </rPr>
          <t>Lookup label filled from the referenced table.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SQLForge</author>
  </authors>
  <commentList>
    <comment ref="A1" authorId="0" shapeId="0" xr:uid="{00000000-0006-0000-0700-000001000000}">
      <text>
        <r>
          <rPr>
            <b/>
            <sz val="9"/>
            <color indexed="81"/>
            <rFont val="Calibri"/>
            <family val="2"/>
          </rPr>
          <t>Primary key.</t>
        </r>
      </text>
    </comment>
    <comment ref="I1" authorId="0" shapeId="0" xr:uid="{00000000-0006-0000-0700-000002000000}">
      <text>
        <r>
          <rPr>
            <b/>
            <sz val="9"/>
            <color indexed="81"/>
            <rFont val="Calibri"/>
            <family val="2"/>
          </rPr>
          <t>References Proveedores.</t>
        </r>
      </text>
    </comment>
    <comment ref="J1" authorId="0" shapeId="0" xr:uid="{00000000-0006-0000-0700-000003000000}">
      <text>
        <r>
          <rPr>
            <b/>
            <sz val="9"/>
            <color indexed="81"/>
            <rFont val="Calibri"/>
            <family val="2"/>
          </rPr>
          <t>Lookup label filled from the referenced table.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SQLForge</author>
  </authors>
  <commentList>
    <comment ref="A1" authorId="0" shapeId="0" xr:uid="{00000000-0006-0000-0800-000001000000}">
      <text>
        <r>
          <rPr>
            <b/>
            <sz val="9"/>
            <color indexed="81"/>
            <rFont val="Calibri"/>
            <family val="2"/>
          </rPr>
          <t>Primary key.</t>
        </r>
      </text>
    </comment>
    <comment ref="D1" authorId="0" shapeId="0" xr:uid="{00000000-0006-0000-0800-000002000000}">
      <text>
        <r>
          <rPr>
            <b/>
            <sz val="9"/>
            <color indexed="81"/>
            <rFont val="Calibri"/>
            <family val="2"/>
          </rPr>
          <t>References Ordenes de compra.</t>
        </r>
      </text>
    </comment>
    <comment ref="E1" authorId="0" shapeId="0" xr:uid="{00000000-0006-0000-0800-000003000000}">
      <text>
        <r>
          <rPr>
            <b/>
            <sz val="9"/>
            <color indexed="81"/>
            <rFont val="Calibri"/>
            <family val="2"/>
          </rPr>
          <t>Lookup label filled from the referenced table.</t>
        </r>
      </text>
    </comment>
    <comment ref="G1" authorId="0" shapeId="0" xr:uid="{00000000-0006-0000-0800-000004000000}">
      <text>
        <r>
          <rPr>
            <b/>
            <sz val="9"/>
            <color indexed="81"/>
            <rFont val="Calibri"/>
            <family val="2"/>
          </rPr>
          <t>References Productos.</t>
        </r>
      </text>
    </comment>
    <comment ref="H1" authorId="0" shapeId="0" xr:uid="{00000000-0006-0000-0800-000005000000}">
      <text>
        <r>
          <rPr>
            <b/>
            <sz val="9"/>
            <color indexed="81"/>
            <rFont val="Calibri"/>
            <family val="2"/>
          </rPr>
          <t>Lookup label filled from the referenced table.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SQLForge</author>
  </authors>
  <commentList>
    <comment ref="A1" authorId="0" shapeId="0" xr:uid="{00000000-0006-0000-0900-000001000000}">
      <text>
        <r>
          <rPr>
            <b/>
            <sz val="9"/>
            <color indexed="81"/>
            <rFont val="Calibri"/>
            <family val="2"/>
          </rPr>
          <t>Primary key.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SQLForge</author>
  </authors>
  <commentList>
    <comment ref="A1" authorId="0" shapeId="0" xr:uid="{00000000-0006-0000-0A00-000001000000}">
      <text>
        <r>
          <rPr>
            <b/>
            <sz val="9"/>
            <color indexed="81"/>
            <rFont val="Calibri"/>
            <family val="2"/>
          </rPr>
          <t>Primary key.</t>
        </r>
      </text>
    </comment>
    <comment ref="C1" authorId="0" shapeId="0" xr:uid="{00000000-0006-0000-0A00-000002000000}">
      <text>
        <r>
          <rPr>
            <b/>
            <sz val="9"/>
            <color indexed="81"/>
            <rFont val="Calibri"/>
            <family val="2"/>
          </rPr>
          <t>References Conteos fisicos.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Calibri"/>
            <family val="2"/>
          </rPr>
          <t>Lookup label filled from the referenced table.</t>
        </r>
      </text>
    </comment>
    <comment ref="G1" authorId="0" shapeId="0" xr:uid="{00000000-0006-0000-0A00-000004000000}">
      <text>
        <r>
          <rPr>
            <b/>
            <sz val="9"/>
            <color indexed="81"/>
            <rFont val="Calibri"/>
            <family val="2"/>
          </rPr>
          <t>References Productos.</t>
        </r>
      </text>
    </comment>
    <comment ref="H1" authorId="0" shapeId="0" xr:uid="{00000000-0006-0000-0A00-000005000000}">
      <text>
        <r>
          <rPr>
            <b/>
            <sz val="9"/>
            <color indexed="81"/>
            <rFont val="Calibri"/>
            <family val="2"/>
          </rPr>
          <t>Lookup label filled from the referenced table.</t>
        </r>
      </text>
    </comment>
    <comment ref="J1" authorId="0" shapeId="0" xr:uid="{00000000-0006-0000-0A00-000006000000}">
      <text>
        <r>
          <rPr>
            <b/>
            <sz val="9"/>
            <color indexed="81"/>
            <rFont val="Calibri"/>
            <family val="2"/>
          </rPr>
          <t>References Ubicaciones.</t>
        </r>
      </text>
    </comment>
    <comment ref="K1" authorId="0" shapeId="0" xr:uid="{00000000-0006-0000-0A00-000007000000}">
      <text>
        <r>
          <rPr>
            <b/>
            <sz val="9"/>
            <color indexed="81"/>
            <rFont val="Calibri"/>
            <family val="2"/>
          </rPr>
          <t>Lookup label filled from the referenced table.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SQLForge</author>
  </authors>
  <commentList>
    <comment ref="A1" authorId="0" shapeId="0" xr:uid="{00000000-0006-0000-0B00-000001000000}">
      <text>
        <r>
          <rPr>
            <b/>
            <sz val="9"/>
            <color indexed="81"/>
            <rFont val="Calibri"/>
            <family val="2"/>
          </rPr>
          <t>Primary key.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SQLForge</author>
  </authors>
  <commentList>
    <comment ref="A1" authorId="0" shapeId="0" xr:uid="{00000000-0006-0000-0C00-000001000000}">
      <text>
        <r>
          <rPr>
            <b/>
            <sz val="9"/>
            <color indexed="81"/>
            <rFont val="Calibri"/>
            <family val="2"/>
          </rPr>
          <t>Primary key.</t>
        </r>
      </text>
    </comment>
    <comment ref="C1" authorId="0" shapeId="0" xr:uid="{00000000-0006-0000-0C00-000002000000}">
      <text>
        <r>
          <rPr>
            <b/>
            <sz val="9"/>
            <color indexed="81"/>
            <rFont val="Calibri"/>
            <family val="2"/>
          </rPr>
          <t>References Clientes.</t>
        </r>
      </text>
    </comment>
    <comment ref="D1" authorId="0" shapeId="0" xr:uid="{00000000-0006-0000-0C00-000003000000}">
      <text>
        <r>
          <rPr>
            <b/>
            <sz val="9"/>
            <color indexed="81"/>
            <rFont val="Calibri"/>
            <family val="2"/>
          </rPr>
          <t>Lookup label filled from the referenced table.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SQLForge</author>
  </authors>
  <commentList>
    <comment ref="A1" authorId="0" shapeId="0" xr:uid="{00000000-0006-0000-0D00-000001000000}">
      <text>
        <r>
          <rPr>
            <b/>
            <sz val="9"/>
            <color indexed="81"/>
            <rFont val="Calibri"/>
            <family val="2"/>
          </rPr>
          <t>Primary key.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SQLForge</author>
  </authors>
  <commentList>
    <comment ref="A1" authorId="0" shapeId="0" xr:uid="{00000000-0006-0000-0E00-000001000000}">
      <text>
        <r>
          <rPr>
            <b/>
            <sz val="9"/>
            <color indexed="81"/>
            <rFont val="Calibri"/>
            <family val="2"/>
          </rPr>
          <t>Primary key.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SQLForge</author>
  </authors>
  <commentList>
    <comment ref="A1" authorId="0" shapeId="0" xr:uid="{00000000-0006-0000-0F00-000001000000}">
      <text>
        <r>
          <rPr>
            <b/>
            <sz val="9"/>
            <color indexed="81"/>
            <rFont val="Calibri"/>
            <family val="2"/>
          </rPr>
          <t>Primary key.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SQLForge</author>
  </authors>
  <commentList>
    <comment ref="A1" authorId="0" shapeId="0" xr:uid="{00000000-0006-0000-1000-000001000000}">
      <text>
        <r>
          <rPr>
            <b/>
            <sz val="9"/>
            <color indexed="81"/>
            <rFont val="Calibri"/>
            <family val="2"/>
          </rPr>
          <t>Primary key.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SQLForge</author>
  </authors>
  <commentList>
    <comment ref="A1" authorId="0" shapeId="0" xr:uid="{00000000-0006-0000-1100-000001000000}">
      <text>
        <r>
          <rPr>
            <b/>
            <sz val="9"/>
            <color indexed="81"/>
            <rFont val="Calibri"/>
            <family val="2"/>
          </rPr>
          <t>Primary key.</t>
        </r>
      </text>
    </comment>
  </commentList>
</comments>
</file>

<file path=xl/sharedStrings.xml><?xml version="1.0" encoding="utf-8"?>
<sst xmlns="http://schemas.openxmlformats.org/spreadsheetml/2006/main" count="3642" uniqueCount="689">
  <si>
    <t>Llantera Aceites Inventario</t>
  </si>
  <si>
    <t>Generated by SQLForge on 2026-06-16 — macro-enabled app</t>
  </si>
  <si>
    <t>Data</t>
  </si>
  <si>
    <t>Productos</t>
  </si>
  <si>
    <t>Stock por ubicacion</t>
  </si>
  <si>
    <t>Transacciones</t>
  </si>
  <si>
    <t>records</t>
  </si>
  <si>
    <t>Ordenes de servicio</t>
  </si>
  <si>
    <t>Detalle de orden de servicio</t>
  </si>
  <si>
    <t>Ordenes de compra</t>
  </si>
  <si>
    <t>Detalle de orden de compra</t>
  </si>
  <si>
    <t>Conteos fisicos</t>
  </si>
  <si>
    <t>Detalle de conteo fisico</t>
  </si>
  <si>
    <t>Clientes</t>
  </si>
  <si>
    <t>Vehiculos</t>
  </si>
  <si>
    <t>Proveedores</t>
  </si>
  <si>
    <t>Ubicaciones</t>
  </si>
  <si>
    <t>Categorias de producto</t>
  </si>
  <si>
    <t>Marcas</t>
  </si>
  <si>
    <t>Unidades</t>
  </si>
  <si>
    <t>Pages</t>
  </si>
  <si>
    <t>Dashboard</t>
  </si>
  <si>
    <t>Rpt_Stock_Categoria</t>
  </si>
  <si>
    <t>Rpt_Valor_Inventario</t>
  </si>
  <si>
    <t>Rpt_Stock_Bajo</t>
  </si>
  <si>
    <t>Rpt_Movimientos</t>
  </si>
  <si>
    <t>Rpt_Rotacion</t>
  </si>
  <si>
    <t>Rpt_Conteo_Fisico</t>
  </si>
  <si>
    <t>Rpt_Antiguedad_Caducidad</t>
  </si>
  <si>
    <t>Rpt_DOT</t>
  </si>
  <si>
    <t>Ana_Movimientos</t>
  </si>
  <si>
    <t>Ana_Inventario</t>
  </si>
  <si>
    <t>Ana_Compras</t>
  </si>
  <si>
    <t>Ana_Servicios</t>
  </si>
  <si>
    <t>Help</t>
  </si>
  <si>
    <t>If buttons and forms are missing, enable macros: close the file, right-click it in Explorer, Properties, check "Unblock", then reopen.</t>
  </si>
  <si>
    <t>Dashboard operativo de inventario</t>
  </si>
  <si>
    <t>Snapshot values from the generated data sheets.</t>
  </si>
  <si>
    <t>Valor inventario a costo</t>
  </si>
  <si>
    <t>Valor inventario a venta</t>
  </si>
  <si>
    <t>SKUs activos</t>
  </si>
  <si>
    <t>Productos bajo reorden</t>
  </si>
  <si>
    <t>Unidades en stock</t>
  </si>
  <si>
    <t>Movimientos del mes</t>
  </si>
  <si>
    <t>Salidas del mes</t>
  </si>
  <si>
    <t>Caducidad prox. 30 dias</t>
  </si>
  <si>
    <t>Salidas con DOT</t>
  </si>
  <si>
    <t>Stock por categoria</t>
  </si>
  <si>
    <t>Value</t>
  </si>
  <si>
    <t>Valor a costo por categoria</t>
  </si>
  <si>
    <t>Llantas</t>
  </si>
  <si>
    <t>Aceites</t>
  </si>
  <si>
    <t>Filtros</t>
  </si>
  <si>
    <t>Accesorios</t>
  </si>
  <si>
    <t>Salidas por producto</t>
  </si>
  <si>
    <t>Alertas operativas</t>
  </si>
  <si>
    <t>Bridgestone Turanza 215/55R17 94V</t>
  </si>
  <si>
    <t>Bajo reorden</t>
  </si>
  <si>
    <t>Filtro de aceite Mobil M1-110</t>
  </si>
  <si>
    <t>Michelin Primacy 4 205/55R16 91V</t>
  </si>
  <si>
    <t>Sin movimiento</t>
  </si>
  <si>
    <t>Mobil 1 ESP Formula 5W-40 1L</t>
  </si>
  <si>
    <t>Mobil 1 Full Synthetic 5W-30 5L</t>
  </si>
  <si>
    <t>Castrol GTX 10W-30 4L</t>
  </si>
  <si>
    <t>Castrol Transmax Dexron VI ATF 1L</t>
  </si>
  <si>
    <t>Continental WinterContact 185/65R15</t>
  </si>
  <si>
    <t>Michelin LTX A/T 265/70R17 121S</t>
  </si>
  <si>
    <t>Pirelli Cinturato 225/45R18 95W</t>
  </si>
  <si>
    <t>Shell Rotella T6 15W-40 Diesel 4L</t>
  </si>
  <si>
    <t>← Back to Home</t>
  </si>
  <si>
    <t>Id</t>
  </si>
  <si>
    <t>Sku</t>
  </si>
  <si>
    <t>Codigo Barras</t>
  </si>
  <si>
    <t>Nombre</t>
  </si>
  <si>
    <t>Categoria Id</t>
  </si>
  <si>
    <t>Categoria Id (lookup)</t>
  </si>
  <si>
    <t>Marca Id</t>
  </si>
  <si>
    <t>Marca Id (lookup)</t>
  </si>
  <si>
    <t>Unidad Id</t>
  </si>
  <si>
    <t>Unidad Id (lookup)</t>
  </si>
  <si>
    <t>Precio Costo</t>
  </si>
  <si>
    <t>Precio Venta</t>
  </si>
  <si>
    <t>Stock Minimo</t>
  </si>
  <si>
    <t>Stock Maximo</t>
  </si>
  <si>
    <t>Punto Reorden</t>
  </si>
  <si>
    <t>Ubicacion Predeterminada Id</t>
  </si>
  <si>
    <t>Ubicacion Predeterminada Id (lookup)</t>
  </si>
  <si>
    <t>Proveedor Predeterminado Id</t>
  </si>
  <si>
    <t>Proveedor Predeterminado Id (lookup)</t>
  </si>
  <si>
    <t>Ancho</t>
  </si>
  <si>
    <t>Perfil</t>
  </si>
  <si>
    <t>Diametro</t>
  </si>
  <si>
    <t>Tipo Llanta</t>
  </si>
  <si>
    <t>Condicion</t>
  </si>
  <si>
    <t>Dot Number</t>
  </si>
  <si>
    <t>Tread Depth Mm</t>
  </si>
  <si>
    <t>Fitment</t>
  </si>
  <si>
    <t>Viscosidad</t>
  </si>
  <si>
    <t>Tipo Aceite</t>
  </si>
  <si>
    <t>Volumen Litros</t>
  </si>
  <si>
    <t>Aplicacion</t>
  </si>
  <si>
    <t>Lote Batch</t>
  </si>
  <si>
    <t>Fecha Caducidad</t>
  </si>
  <si>
    <t>Activo</t>
  </si>
  <si>
    <t>Notas</t>
  </si>
  <si>
    <t>Fecha Alta</t>
  </si>
  <si>
    <t>LL-2055516-MIC-AS</t>
  </si>
  <si>
    <t>3528701234501</t>
  </si>
  <si>
    <t>All Season</t>
  </si>
  <si>
    <t>Nueva</t>
  </si>
  <si>
    <t>DOT ABCD 1234</t>
  </si>
  <si>
    <t>Si</t>
  </si>
  <si>
    <t>Llanta premium para sedanes</t>
  </si>
  <si>
    <t>LL-2155517-BR-PT</t>
  </si>
  <si>
    <t>3528701234502</t>
  </si>
  <si>
    <t>DOT EFGH 2345</t>
  </si>
  <si>
    <t>LL-2254518-PI-AS</t>
  </si>
  <si>
    <t>3528701234503</t>
  </si>
  <si>
    <t>DOT IJKL 3456</t>
  </si>
  <si>
    <t>Para autos deportivos</t>
  </si>
  <si>
    <t>LL-1856515-CO-WT</t>
  </si>
  <si>
    <t>3528701234504</t>
  </si>
  <si>
    <t>Invierno</t>
  </si>
  <si>
    <t>DOT MNOP 4567</t>
  </si>
  <si>
    <t>Temporada invierno</t>
  </si>
  <si>
    <t>LL-2657017-MI-AT</t>
  </si>
  <si>
    <t>3528701234505</t>
  </si>
  <si>
    <t>DOT QRST 5678</t>
  </si>
  <si>
    <t>Llanta para SUV/Camioneta</t>
  </si>
  <si>
    <t>AC-5W30-MOB-FS-5L</t>
  </si>
  <si>
    <t>7501055300101</t>
  </si>
  <si>
    <t>5W-30</t>
  </si>
  <si>
    <t>Sintetico</t>
  </si>
  <si>
    <t>Motor</t>
  </si>
  <si>
    <t>LOT-2026-05-MOB</t>
  </si>
  <si>
    <t>Recomendado para motores modernos</t>
  </si>
  <si>
    <t>AC-10W30-CAS-4L</t>
  </si>
  <si>
    <t>7501055300102</t>
  </si>
  <si>
    <t>10W-30</t>
  </si>
  <si>
    <t>Semisintetico</t>
  </si>
  <si>
    <t>LOT-2026-04-CAS</t>
  </si>
  <si>
    <t>Para motores con mas de 75,000 km</t>
  </si>
  <si>
    <t>AC-15W40-SHE-4L</t>
  </si>
  <si>
    <t>7501055300103</t>
  </si>
  <si>
    <t>15W-40</t>
  </si>
  <si>
    <t>Motor Diesel</t>
  </si>
  <si>
    <t>LOT-2026-06-SHE</t>
  </si>
  <si>
    <t>Para motores diesel</t>
  </si>
  <si>
    <t>AC-5W40-MOB-1L</t>
  </si>
  <si>
    <t>7501055300104</t>
  </si>
  <si>
    <t>5W-40</t>
  </si>
  <si>
    <t>LOT-2026-05-MOB-1</t>
  </si>
  <si>
    <t>Para vehiculos europeos</t>
  </si>
  <si>
    <t>AC-ATF-CAS-1L</t>
  </si>
  <si>
    <t>7501055300105</t>
  </si>
  <si>
    <t>ATF Dexron VI</t>
  </si>
  <si>
    <t>Transmision Automatica</t>
  </si>
  <si>
    <t>LOT-2026-04-CAS-ATF</t>
  </si>
  <si>
    <t>Larga vida</t>
  </si>
  <si>
    <t>FL-ACE-MOB</t>
  </si>
  <si>
    <t>3165140123456</t>
  </si>
  <si>
    <t>LOT-2026-FLT</t>
  </si>
  <si>
    <t>Para Mobil 1 5W-30</t>
  </si>
  <si>
    <t>Back to Home</t>
  </si>
  <si>
    <t>Cantidad</t>
  </si>
  <si>
    <t>Producto Id</t>
  </si>
  <si>
    <t>Producto Id (lookup)</t>
  </si>
  <si>
    <t>Ubicacion Id</t>
  </si>
  <si>
    <t>Ubicacion Id (lookup)</t>
  </si>
  <si>
    <t>Updated At</t>
  </si>
  <si>
    <t>Costo Unitario</t>
  </si>
  <si>
    <t>Created At</t>
  </si>
  <si>
    <t>Fecha</t>
  </si>
  <si>
    <t>Referencia</t>
  </si>
  <si>
    <t>Tipo Movimiento</t>
  </si>
  <si>
    <t>Ubicacion Destino Id</t>
  </si>
  <si>
    <t>Ubicacion Destino Id (lookup)</t>
  </si>
  <si>
    <t>Usuario</t>
  </si>
  <si>
    <t>Recepcion de mercancia</t>
  </si>
  <si>
    <t>PO-0001</t>
  </si>
  <si>
    <t>Entrada</t>
  </si>
  <si>
    <t>admin</t>
  </si>
  <si>
    <t>Entrada por lote</t>
  </si>
  <si>
    <t>PO-0002</t>
  </si>
  <si>
    <t>Cambio de llantas traseras</t>
  </si>
  <si>
    <t>OS-0001</t>
  </si>
  <si>
    <t>Salida</t>
  </si>
  <si>
    <t>jperez</t>
  </si>
  <si>
    <t>Cambio de aceite</t>
  </si>
  <si>
    <t>OS-0002</t>
  </si>
  <si>
    <t>mgonzalez</t>
  </si>
  <si>
    <t>Juego completo</t>
  </si>
  <si>
    <t>OS-0003</t>
  </si>
  <si>
    <t>Servicio a flotilla</t>
  </si>
  <si>
    <t>OS-0004</t>
  </si>
  <si>
    <t>transportes</t>
  </si>
  <si>
    <t>Cambio de filtro</t>
  </si>
  <si>
    <t>OS-0005</t>
  </si>
  <si>
    <t>Conteo fisico: 2 unidades no registradas</t>
  </si>
  <si>
    <t>CONT-2026-06</t>
  </si>
  <si>
    <t>Ajuste (+)</t>
  </si>
  <si>
    <t>Cliente Id</t>
  </si>
  <si>
    <t>Cliente Id (lookup)</t>
  </si>
  <si>
    <t>Estado</t>
  </si>
  <si>
    <t>Folio</t>
  </si>
  <si>
    <t>Impuestos</t>
  </si>
  <si>
    <t>Kilometraje</t>
  </si>
  <si>
    <t>Subtotal</t>
  </si>
  <si>
    <t>Tecnico</t>
  </si>
  <si>
    <t>Total</t>
  </si>
  <si>
    <t>Trabajo Realizado</t>
  </si>
  <si>
    <t>Vehiculo Id</t>
  </si>
  <si>
    <t>Vehiculo Id (lookup)</t>
  </si>
  <si>
    <t>Cerrada</t>
  </si>
  <si>
    <t>Tecnico 1</t>
  </si>
  <si>
    <t>Cambio de 2 llantas traseras, alineacion y balanceo</t>
  </si>
  <si>
    <t>Tecnico 2</t>
  </si>
  <si>
    <t>Cambio de aceite y filtro</t>
  </si>
  <si>
    <t>Juego completo de 4 llantas + valvulas</t>
  </si>
  <si>
    <t>Servicio preventivo a flotilla (filtro + aceite)</t>
  </si>
  <si>
    <t>En Proceso</t>
  </si>
  <si>
    <t>Cambio de filtro de aceite</t>
  </si>
  <si>
    <t>Orden Servicio Id</t>
  </si>
  <si>
    <t>Orden Servicio Id (lookup)</t>
  </si>
  <si>
    <t>Precio Unitario</t>
  </si>
  <si>
    <t>Fecha Entrega Esperada</t>
  </si>
  <si>
    <t>Proveedor Id</t>
  </si>
  <si>
    <t>Proveedor Id (lookup)</t>
  </si>
  <si>
    <t>Recibida</t>
  </si>
  <si>
    <t>Pedido mensual llantas</t>
  </si>
  <si>
    <t>Pedido mensual aceites</t>
  </si>
  <si>
    <t>Cantidad Recibida</t>
  </si>
  <si>
    <t>Orden Compra Id</t>
  </si>
  <si>
    <t>Orden Compra Id (lookup)</t>
  </si>
  <si>
    <t>Responsable</t>
  </si>
  <si>
    <t>Aplicado</t>
  </si>
  <si>
    <t>Conteo general de cierre de mes</t>
  </si>
  <si>
    <t>Cantidad Contada</t>
  </si>
  <si>
    <t>Conteo Id</t>
  </si>
  <si>
    <t>Conteo Id (lookup)</t>
  </si>
  <si>
    <t>Diferencia</t>
  </si>
  <si>
    <t>Stock Sistema</t>
  </si>
  <si>
    <t>Se encontro una unidad adicional en el estante inferior</t>
  </si>
  <si>
    <t>Codigo</t>
  </si>
  <si>
    <t>Direccion</t>
  </si>
  <si>
    <t>Email</t>
  </si>
  <si>
    <t>Nombre Completo</t>
  </si>
  <si>
    <t>Telefono</t>
  </si>
  <si>
    <t>CLI-001</t>
  </si>
  <si>
    <t>Av. Reforma 123, CDMX</t>
  </si>
  <si>
    <t>juan.perez@example.com</t>
  </si>
  <si>
    <t>Juan Perez Lopez</t>
  </si>
  <si>
    <t>55-1111-2222</t>
  </si>
  <si>
    <t>CLI-002</t>
  </si>
  <si>
    <t>Calle Insurgentes 456, CDMX</t>
  </si>
  <si>
    <t>m.gonzalez@example.com</t>
  </si>
  <si>
    <t>Maria Gonzalez Castillo</t>
  </si>
  <si>
    <t>55-3333-4444</t>
  </si>
  <si>
    <t>CLI-003</t>
  </si>
  <si>
    <t>Av. Industrial 789, Estado de Mexico</t>
  </si>
  <si>
    <t>flotilla@transportesr.test</t>
  </si>
  <si>
    <t>Transportes Rapidos SA</t>
  </si>
  <si>
    <t>55-5555-6666</t>
  </si>
  <si>
    <t>Anio</t>
  </si>
  <si>
    <t>Color</t>
  </si>
  <si>
    <t>Marca</t>
  </si>
  <si>
    <t>Modelo</t>
  </si>
  <si>
    <t>Placa</t>
  </si>
  <si>
    <t>Vin</t>
  </si>
  <si>
    <t>Plata</t>
  </si>
  <si>
    <t>Toyota</t>
  </si>
  <si>
    <t>Corolla</t>
  </si>
  <si>
    <t>ABC-123-A</t>
  </si>
  <si>
    <t>Negro</t>
  </si>
  <si>
    <t>Honda</t>
  </si>
  <si>
    <t>Civic</t>
  </si>
  <si>
    <t>XYZ-987-B</t>
  </si>
  <si>
    <t>Blanco</t>
  </si>
  <si>
    <t>Nissan</t>
  </si>
  <si>
    <t>Versa</t>
  </si>
  <si>
    <t>DEF-456-C</t>
  </si>
  <si>
    <t>Rojo</t>
  </si>
  <si>
    <t>Kenworth</t>
  </si>
  <si>
    <t>T680</t>
  </si>
  <si>
    <t>TRK-001-D</t>
  </si>
  <si>
    <t>Azul</t>
  </si>
  <si>
    <t>Freightliner</t>
  </si>
  <si>
    <t>Cascadia</t>
  </si>
  <si>
    <t>TRK-002-D</t>
  </si>
  <si>
    <t>Condiciones Pago</t>
  </si>
  <si>
    <t>Contacto Email</t>
  </si>
  <si>
    <t>Contacto Nombre</t>
  </si>
  <si>
    <t>Contacto Telefono</t>
  </si>
  <si>
    <t>Lead Time Dias</t>
  </si>
  <si>
    <t>PROV-001</t>
  </si>
  <si>
    <t>Contado</t>
  </si>
  <si>
    <t>ventas@michelin-cdmx.test</t>
  </si>
  <si>
    <t>Carlos Mendez</t>
  </si>
  <si>
    <t>55-1234-5678</t>
  </si>
  <si>
    <t>Distribuidora Michelin Centro</t>
  </si>
  <si>
    <t>Pedido minimo $5,000</t>
  </si>
  <si>
    <t>PROV-002</t>
  </si>
  <si>
    <t>Credito 30 dias</t>
  </si>
  <si>
    <t>pedidos@lubvalle.test</t>
  </si>
  <si>
    <t>Laura Hernandez</t>
  </si>
  <si>
    <t>55-2345-6789</t>
  </si>
  <si>
    <t>Lubricantes del Valle SA</t>
  </si>
  <si>
    <t>Acepta devoluciones por caducidad</t>
  </si>
  <si>
    <t>PROV-003</t>
  </si>
  <si>
    <t>corporativo@pirelli-mx.test</t>
  </si>
  <si>
    <t>Roberto Garcia</t>
  </si>
  <si>
    <t>33-3456-7890</t>
  </si>
  <si>
    <t>Importadora Pirelli Mexico</t>
  </si>
  <si>
    <t>Catalogo online disponible</t>
  </si>
  <si>
    <t>PROV-004</t>
  </si>
  <si>
    <t>Credito 15 dias</t>
  </si>
  <si>
    <t>mayoreo@autopartesgic.test</t>
  </si>
  <si>
    <t>Ana Ramirez</t>
  </si>
  <si>
    <t>55-4567-8901</t>
  </si>
  <si>
    <t>AutoPartes GIC Mayorista</t>
  </si>
  <si>
    <t>Entrega mismo dia en zona metropolitana</t>
  </si>
  <si>
    <t>Capacidad</t>
  </si>
  <si>
    <t>Descripcion</t>
  </si>
  <si>
    <t>Tipo Ubicacion</t>
  </si>
  <si>
    <t>UBIC-001</t>
  </si>
  <si>
    <t>Rack metalico nivel 1, 50 espacios</t>
  </si>
  <si>
    <t>Rack Llantas A-01</t>
  </si>
  <si>
    <t>UBIC-002</t>
  </si>
  <si>
    <t>Rack metalico nivel 2</t>
  </si>
  <si>
    <t>Rack Llantas A-02</t>
  </si>
  <si>
    <t>UBIC-003</t>
  </si>
  <si>
    <t>Rack metalico nivel 3</t>
  </si>
  <si>
    <t>Rack Llantas A-03</t>
  </si>
  <si>
    <t>UBIC-004</t>
  </si>
  <si>
    <t>Estante para aceites, 4 niveles</t>
  </si>
  <si>
    <t>Estante Aceites Norte</t>
  </si>
  <si>
    <t>UBIC-005</t>
  </si>
  <si>
    <t>Estante Aceites Sur</t>
  </si>
  <si>
    <t>UBIC-006</t>
  </si>
  <si>
    <t>Productos en exhibicion</t>
  </si>
  <si>
    <t>Mostrador</t>
  </si>
  <si>
    <t>UBIC-007</t>
  </si>
  <si>
    <t>Almacenamiento general</t>
  </si>
  <si>
    <t>Bodega General</t>
  </si>
  <si>
    <t>General</t>
  </si>
  <si>
    <t>Llantas nuevas, usadas y reencauche</t>
  </si>
  <si>
    <t>Lubricantes para motor, transmision y diferencial</t>
  </si>
  <si>
    <t>Filtros de aceite, aire y combustible</t>
  </si>
  <si>
    <t>Tapas, valvulas, balanceo, montaje</t>
  </si>
  <si>
    <t>Michelin</t>
  </si>
  <si>
    <t>Bridgestone</t>
  </si>
  <si>
    <t>Pirelli</t>
  </si>
  <si>
    <t>Continental</t>
  </si>
  <si>
    <t>Mobil</t>
  </si>
  <si>
    <t>Castrol</t>
  </si>
  <si>
    <t>Shell</t>
  </si>
  <si>
    <t>Bosch</t>
  </si>
  <si>
    <t>Abreviatura</t>
  </si>
  <si>
    <t>pz</t>
  </si>
  <si>
    <t>Pieza</t>
  </si>
  <si>
    <t>L</t>
  </si>
  <si>
    <t>Litro</t>
  </si>
  <si>
    <t>gal</t>
  </si>
  <si>
    <t>Galon</t>
  </si>
  <si>
    <t>cja</t>
  </si>
  <si>
    <t>Caja</t>
  </si>
  <si>
    <t>par</t>
  </si>
  <si>
    <t>Par</t>
  </si>
  <si>
    <t>srv</t>
  </si>
  <si>
    <t>Servicio</t>
  </si>
  <si>
    <t>Categoria</t>
  </si>
  <si>
    <t>Producto</t>
  </si>
  <si>
    <t>Ubicacion</t>
  </si>
  <si>
    <t>Stock</t>
  </si>
  <si>
    <t>Costo unitario</t>
  </si>
  <si>
    <t>Valor costo</t>
  </si>
  <si>
    <t>Precio venta</t>
  </si>
  <si>
    <t>Valor venta</t>
  </si>
  <si>
    <t>Stock actual por categoria, producto y ubicacion.</t>
  </si>
  <si>
    <t>Generated on 2026-06-16. Refresh by regenerating the workbook.</t>
  </si>
  <si>
    <t>SKU</t>
  </si>
  <si>
    <t>Valor de inventario a costo y venta por producto.</t>
  </si>
  <si>
    <t>Punto reorden</t>
  </si>
  <si>
    <t>Stock minimo</t>
  </si>
  <si>
    <t>Stock maximo</t>
  </si>
  <si>
    <t>Ubicacion pred.</t>
  </si>
  <si>
    <t>Productos activos en o bajo punto de reorden.</t>
  </si>
  <si>
    <t>Tipo</t>
  </si>
  <si>
    <t>Destino</t>
  </si>
  <si>
    <t>Lote</t>
  </si>
  <si>
    <t>DOT</t>
  </si>
  <si>
    <t>2026-06-14 17:30</t>
  </si>
  <si>
    <t>2026-06-14 11:00</t>
  </si>
  <si>
    <t>2026-06-13 16:00</t>
  </si>
  <si>
    <t>2026-06-12 09:00</t>
  </si>
  <si>
    <t>2026-06-11 15:30</t>
  </si>
  <si>
    <t>2026-06-10 12:00</t>
  </si>
  <si>
    <t>2026-06-03 14:20</t>
  </si>
  <si>
    <t>2026-06-02 11:45</t>
  </si>
  <si>
    <t>2026-06-02 08:15</t>
  </si>
  <si>
    <t>2026-06-01 10:00</t>
  </si>
  <si>
    <t>2026-06-01 09:30</t>
  </si>
  <si>
    <t>Historial de entradas, salidas, ajustes y transferencias.</t>
  </si>
  <si>
    <t>Entradas</t>
  </si>
  <si>
    <t>Salidas</t>
  </si>
  <si>
    <t>Otros movs.</t>
  </si>
  <si>
    <t>No</t>
  </si>
  <si>
    <t>Entradas, salidas y productos sin movimiento.</t>
  </si>
  <si>
    <t>Stock sistema</t>
  </si>
  <si>
    <t>Cantidad contada</t>
  </si>
  <si>
    <t>2026-06-14</t>
  </si>
  <si>
    <t>Diferencias entre stock de sistema y conteo fisico.</t>
  </si>
  <si>
    <t>Fecha caducidad</t>
  </si>
  <si>
    <t>Dias a caducar</t>
  </si>
  <si>
    <t>2028-04-30</t>
  </si>
  <si>
    <t>2028-05-31</t>
  </si>
  <si>
    <t>2028-06-30</t>
  </si>
  <si>
    <t>2030-04-30</t>
  </si>
  <si>
    <t>Productos con lote o fecha de caducidad registrada.</t>
  </si>
  <si>
    <t>Trazabilidad de salidas con DOT registrado.</t>
  </si>
  <si>
    <t>PivotTables nativas sobre 'Transacciones'. Se actualizan al abrir el libro; clic derecho &gt; Actualizar para refrescar.</t>
  </si>
  <si>
    <t>Movimientos por tipo y fecha</t>
  </si>
  <si>
    <t>PivotTable nativa — clic derecho &gt; Actualizar para refrescar.</t>
  </si>
  <si>
    <t>Movimientos por producto</t>
  </si>
  <si>
    <t>PivotTables nativas sobre 'Stock por ubicacion'. Se actualizan al abrir el libro; clic derecho &gt; Actualizar para refrescar.</t>
  </si>
  <si>
    <t>Stock por producto y ubicacion</t>
  </si>
  <si>
    <t>PivotTables nativas sobre 'Detalle de orden de compra'. Se actualizan al abrir el libro; clic derecho &gt; Actualizar para refrescar.</t>
  </si>
  <si>
    <t>Compras por producto</t>
  </si>
  <si>
    <t>PivotTables nativas sobre 'Detalle de orden de servicio'. Se actualizan al abrir el libro; clic derecho &gt; Actualizar para refrescar.</t>
  </si>
  <si>
    <t>Servicios por producto</t>
  </si>
  <si>
    <t>Editing data</t>
  </si>
  <si>
    <t>Each sheet holds one table. Type directly into cells; press Tab in the last cell of the last row to add a new row.</t>
  </si>
  <si>
    <t>Dropdowns</t>
  </si>
  <si>
    <t>Reference columns offer a dropdown of valid values; the "(lookup)" column next to them shows the related name and fills in automatically.</t>
  </si>
  <si>
    <t>Filtering &amp; sorting</t>
  </si>
  <si>
    <t>Use the arrow buttons in the table header row.</t>
  </si>
  <si>
    <t>The Dashboard sheet recalculates automatically from your data.</t>
  </si>
  <si>
    <t>Forms &amp; buttons</t>
  </si>
  <si>
    <t>With macros enabled, every data sheet gets New / Edit / Delete buttons and a record form with validation.</t>
  </si>
  <si>
    <t>Audit log</t>
  </si>
  <si>
    <t>Changes made through the form are recorded on the (hidden) _audit_log sheet.</t>
  </si>
  <si>
    <t>Data dictionary</t>
  </si>
  <si>
    <t>key</t>
  </si>
  <si>
    <t>value</t>
  </si>
  <si>
    <t>engine_version</t>
  </si>
  <si>
    <t>1.4.0</t>
  </si>
  <si>
    <t>project_name</t>
  </si>
  <si>
    <t>project_slug</t>
  </si>
  <si>
    <t>llantera-aceites-inventario</t>
  </si>
  <si>
    <t>generated_at</t>
  </si>
  <si>
    <t>2026-06-16T21:52:00.980Z</t>
  </si>
  <si>
    <t>template_variant</t>
  </si>
  <si>
    <t>classic</t>
  </si>
  <si>
    <t>excel_theme</t>
  </si>
  <si>
    <t>excel_date_format</t>
  </si>
  <si>
    <t>yyyy-mm-dd</t>
  </si>
  <si>
    <t>excel_datetime_format</t>
  </si>
  <si>
    <t>yyyy-mm-dd hh:mm</t>
  </si>
  <si>
    <t>excel_protection_enabled</t>
  </si>
  <si>
    <t>1</t>
  </si>
  <si>
    <t>excel_row_limit</t>
  </si>
  <si>
    <t>50000</t>
  </si>
  <si>
    <t>audit_sheet</t>
  </si>
  <si>
    <t>_audit_log</t>
  </si>
  <si>
    <t>entity</t>
  </si>
  <si>
    <t>sheet</t>
  </si>
  <si>
    <t>table</t>
  </si>
  <si>
    <t>singular</t>
  </si>
  <si>
    <t>plural</t>
  </si>
  <si>
    <t>pk_column</t>
  </si>
  <si>
    <t>pk_header</t>
  </si>
  <si>
    <t>audit_enabled</t>
  </si>
  <si>
    <t>workflow_status_column</t>
  </si>
  <si>
    <t>workflow_status_header</t>
  </si>
  <si>
    <t>productos</t>
  </si>
  <si>
    <t>tblProductos</t>
  </si>
  <si>
    <t>id</t>
  </si>
  <si>
    <t>0</t>
  </si>
  <si>
    <t>stock_por_ubicacion</t>
  </si>
  <si>
    <t>tblStockPorUbicacion</t>
  </si>
  <si>
    <t>transacciones</t>
  </si>
  <si>
    <t>tblTransacciones</t>
  </si>
  <si>
    <t>Transaccion</t>
  </si>
  <si>
    <t>ordenes_servicio</t>
  </si>
  <si>
    <t>tblOrdenesServicio</t>
  </si>
  <si>
    <t>Orden de servicio</t>
  </si>
  <si>
    <t>detalle_orden_servicio</t>
  </si>
  <si>
    <t>tblDetalleOrdenServicio</t>
  </si>
  <si>
    <t>ordenes_compra</t>
  </si>
  <si>
    <t>tblOrdenesCompra</t>
  </si>
  <si>
    <t>Orden de compra</t>
  </si>
  <si>
    <t>detalle_orden_compra</t>
  </si>
  <si>
    <t>tblDetalleOrdenCompra</t>
  </si>
  <si>
    <t>conteos_fisicos</t>
  </si>
  <si>
    <t>tblConteosFisicos</t>
  </si>
  <si>
    <t>Conteo fisico</t>
  </si>
  <si>
    <t>detalle_conteo_fisico</t>
  </si>
  <si>
    <t>tblDetalleConteoFisico</t>
  </si>
  <si>
    <t>clientes</t>
  </si>
  <si>
    <t>tblClientes</t>
  </si>
  <si>
    <t>Cliente</t>
  </si>
  <si>
    <t>vehiculos</t>
  </si>
  <si>
    <t>tblVehiculos</t>
  </si>
  <si>
    <t>Vehiculo</t>
  </si>
  <si>
    <t>proveedores</t>
  </si>
  <si>
    <t>tblProveedores</t>
  </si>
  <si>
    <t>Proveedor</t>
  </si>
  <si>
    <t>ubicaciones</t>
  </si>
  <si>
    <t>tblUbicaciones</t>
  </si>
  <si>
    <t>categorias_producto</t>
  </si>
  <si>
    <t>tblCategoriasProducto</t>
  </si>
  <si>
    <t>Categoria de producto</t>
  </si>
  <si>
    <t>marcas</t>
  </si>
  <si>
    <t>tblMarcas</t>
  </si>
  <si>
    <t>unidades</t>
  </si>
  <si>
    <t>tblUnidades</t>
  </si>
  <si>
    <t>Unidad</t>
  </si>
  <si>
    <t>header</t>
  </si>
  <si>
    <t>column</t>
  </si>
  <si>
    <t>type</t>
  </si>
  <si>
    <t>ui_hint</t>
  </si>
  <si>
    <t>is_pk</t>
  </si>
  <si>
    <t>is_fk</t>
  </si>
  <si>
    <t>required</t>
  </si>
  <si>
    <t>is_computed</t>
  </si>
  <si>
    <t>is_lookup_label</t>
  </si>
  <si>
    <t>fk_target_entity</t>
  </si>
  <si>
    <t>fk_target_pk</t>
  </si>
  <si>
    <t>fk_target_display</t>
  </si>
  <si>
    <t>default_value</t>
  </si>
  <si>
    <t>helper_text</t>
  </si>
  <si>
    <t>options</t>
  </si>
  <si>
    <t>is_in_create_form</t>
  </si>
  <si>
    <t>is_in_edit_form</t>
  </si>
  <si>
    <t>display_order</t>
  </si>
  <si>
    <t>integer</t>
  </si>
  <si>
    <t>NUMBER</t>
  </si>
  <si>
    <t>sku</t>
  </si>
  <si>
    <t>string</t>
  </si>
  <si>
    <t>TEXT</t>
  </si>
  <si>
    <t>10</t>
  </si>
  <si>
    <t>codigo_barras</t>
  </si>
  <si>
    <t>20</t>
  </si>
  <si>
    <t>nombre</t>
  </si>
  <si>
    <t>30</t>
  </si>
  <si>
    <t>categoria_id</t>
  </si>
  <si>
    <t>40</t>
  </si>
  <si>
    <t>marca_id</t>
  </si>
  <si>
    <t>50</t>
  </si>
  <si>
    <t>unidad_id</t>
  </si>
  <si>
    <t>60</t>
  </si>
  <si>
    <t>precio_costo</t>
  </si>
  <si>
    <t>float</t>
  </si>
  <si>
    <t>70</t>
  </si>
  <si>
    <t>precio_venta</t>
  </si>
  <si>
    <t>80</t>
  </si>
  <si>
    <t>stock_minimo</t>
  </si>
  <si>
    <t>90</t>
  </si>
  <si>
    <t>stock_maximo</t>
  </si>
  <si>
    <t>100</t>
  </si>
  <si>
    <t>punto_reorden</t>
  </si>
  <si>
    <t>110</t>
  </si>
  <si>
    <t>ubicacion_predeterminada_id</t>
  </si>
  <si>
    <t>120</t>
  </si>
  <si>
    <t>proveedor_predeterminado_id</t>
  </si>
  <si>
    <t>130</t>
  </si>
  <si>
    <t>ancho</t>
  </si>
  <si>
    <t>140</t>
  </si>
  <si>
    <t>perfil</t>
  </si>
  <si>
    <t>150</t>
  </si>
  <si>
    <t>diametro</t>
  </si>
  <si>
    <t>160</t>
  </si>
  <si>
    <t>tipo_llanta</t>
  </si>
  <si>
    <t>170</t>
  </si>
  <si>
    <t>condicion</t>
  </si>
  <si>
    <t>180</t>
  </si>
  <si>
    <t>dot_number</t>
  </si>
  <si>
    <t>190</t>
  </si>
  <si>
    <t>tread_depth_mm</t>
  </si>
  <si>
    <t>200</t>
  </si>
  <si>
    <t>fitment</t>
  </si>
  <si>
    <t>210</t>
  </si>
  <si>
    <t>viscosidad</t>
  </si>
  <si>
    <t>220</t>
  </si>
  <si>
    <t>tipo_aceite</t>
  </si>
  <si>
    <t>230</t>
  </si>
  <si>
    <t>volumen_litros</t>
  </si>
  <si>
    <t>240</t>
  </si>
  <si>
    <t>aplicacion</t>
  </si>
  <si>
    <t>250</t>
  </si>
  <si>
    <t>lote_batch</t>
  </si>
  <si>
    <t>260</t>
  </si>
  <si>
    <t>fecha_caducidad</t>
  </si>
  <si>
    <t>date</t>
  </si>
  <si>
    <t>270</t>
  </si>
  <si>
    <t>activo</t>
  </si>
  <si>
    <t>'Si'</t>
  </si>
  <si>
    <t>280</t>
  </si>
  <si>
    <t>notas</t>
  </si>
  <si>
    <t>TEXTAREA</t>
  </si>
  <si>
    <t>290</t>
  </si>
  <si>
    <t>fecha_alta</t>
  </si>
  <si>
    <t>datetime</t>
  </si>
  <si>
    <t>CURRENT_TIMESTAMP</t>
  </si>
  <si>
    <t>900</t>
  </si>
  <si>
    <t>cantidad</t>
  </si>
  <si>
    <t>producto_id</t>
  </si>
  <si>
    <t>ubicacion_id</t>
  </si>
  <si>
    <t>updated_at</t>
  </si>
  <si>
    <t>costo_unitario</t>
  </si>
  <si>
    <t>created_at</t>
  </si>
  <si>
    <t>fecha</t>
  </si>
  <si>
    <t>referencia</t>
  </si>
  <si>
    <t>tipo_movimiento</t>
  </si>
  <si>
    <t>ubicacion_destino_id</t>
  </si>
  <si>
    <t>usuario</t>
  </si>
  <si>
    <t>cliente_id</t>
  </si>
  <si>
    <t>nombre_completo</t>
  </si>
  <si>
    <t>estado</t>
  </si>
  <si>
    <t>'Abierta'</t>
  </si>
  <si>
    <t>folio</t>
  </si>
  <si>
    <t>impuestos</t>
  </si>
  <si>
    <t>kilometraje</t>
  </si>
  <si>
    <t>subtotal</t>
  </si>
  <si>
    <t>tecnico</t>
  </si>
  <si>
    <t>total</t>
  </si>
  <si>
    <t>trabajo_realizado</t>
  </si>
  <si>
    <t>vehiculo_id</t>
  </si>
  <si>
    <t>color</t>
  </si>
  <si>
    <t>orden_servicio_id</t>
  </si>
  <si>
    <t>precio_unitario</t>
  </si>
  <si>
    <t>'Borrador'</t>
  </si>
  <si>
    <t>fecha_entrega_esperada</t>
  </si>
  <si>
    <t>proveedor_id</t>
  </si>
  <si>
    <t>cantidad_recibida</t>
  </si>
  <si>
    <t>orden_compra_id</t>
  </si>
  <si>
    <t>'En Proceso'</t>
  </si>
  <si>
    <t>responsable</t>
  </si>
  <si>
    <t>cantidad_contada</t>
  </si>
  <si>
    <t>conteo_id</t>
  </si>
  <si>
    <t>diferencia</t>
  </si>
  <si>
    <t>stock_sistema</t>
  </si>
  <si>
    <t>codigo</t>
  </si>
  <si>
    <t>direccion</t>
  </si>
  <si>
    <t>email</t>
  </si>
  <si>
    <t>EMAIL</t>
  </si>
  <si>
    <t>telefono</t>
  </si>
  <si>
    <t>anio</t>
  </si>
  <si>
    <t>marca</t>
  </si>
  <si>
    <t>modelo</t>
  </si>
  <si>
    <t>placa</t>
  </si>
  <si>
    <t>vin</t>
  </si>
  <si>
    <t>condiciones_pago</t>
  </si>
  <si>
    <t>'Contado'</t>
  </si>
  <si>
    <t>contacto_email</t>
  </si>
  <si>
    <t>contacto_nombre</t>
  </si>
  <si>
    <t>contacto_telefono</t>
  </si>
  <si>
    <t>lead_time_dias</t>
  </si>
  <si>
    <t>7</t>
  </si>
  <si>
    <t>capacidad</t>
  </si>
  <si>
    <t>descripcion</t>
  </si>
  <si>
    <t>tipo_ubicacion</t>
  </si>
  <si>
    <t>'General'</t>
  </si>
  <si>
    <t>abreviatura</t>
  </si>
  <si>
    <t>rule_type</t>
  </si>
  <si>
    <t>rule_config</t>
  </si>
  <si>
    <t>error_message</t>
  </si>
  <si>
    <t>severity</t>
  </si>
  <si>
    <t>status_column</t>
  </si>
  <si>
    <t>state</t>
  </si>
  <si>
    <t>label</t>
  </si>
  <si>
    <t>actions_json</t>
  </si>
  <si>
    <t>timestamp</t>
  </si>
  <si>
    <t>user</t>
  </si>
  <si>
    <t>record_pk</t>
  </si>
  <si>
    <t>action</t>
  </si>
  <si>
    <t>old_value</t>
  </si>
  <si>
    <t>new_value</t>
  </si>
  <si>
    <t>crud_panel_position.Home</t>
  </si>
  <si>
    <t>Values</t>
  </si>
  <si>
    <t>Etiquetas de fila</t>
  </si>
  <si>
    <t>Cantidad total</t>
  </si>
  <si>
    <t>Subtotal total</t>
  </si>
  <si>
    <t>Total general</t>
  </si>
  <si>
    <t>Stock total</t>
  </si>
  <si>
    <t>Etiquetas de columna</t>
  </si>
  <si>
    <t>crud_panel_position.Productos</t>
  </si>
  <si>
    <t>0|0</t>
  </si>
  <si>
    <t>0|31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</si>
</sst>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yyyy\-mm\-dd\ hh:mm"/>
  </numFmts>
  <fonts count="11" x14ac:knownFonts="1"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FFFFFF"/>
      <name val="Calibri"/>
      <family val="2"/>
    </font>
    <font>
      <b/>
      <sz val="16"/>
      <color rgb="FF111827"/>
      <name val="Calibri"/>
      <family val="2"/>
    </font>
    <font>
      <u/>
      <sz val="11"/>
      <color rgb="FF2563EB"/>
      <name val="Calibri"/>
      <family val="2"/>
    </font>
    <font>
      <i/>
      <sz val="10"/>
      <color rgb="FF6B7280"/>
      <name val="Calibri"/>
      <family val="2"/>
    </font>
    <font>
      <b/>
      <sz val="22"/>
      <color rgb="FF4F46E5"/>
      <name val="Calibri"/>
      <family val="2"/>
    </font>
    <font>
      <b/>
      <sz val="13"/>
      <color rgb="FF4F46E5"/>
      <name val="Calibri"/>
      <family val="2"/>
    </font>
    <font>
      <b/>
      <sz val="18"/>
      <color rgb="FF111827"/>
      <name val="Calibri"/>
      <family val="2"/>
    </font>
    <font>
      <b/>
      <sz val="9"/>
      <color indexed="81"/>
      <name val="Calibri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4F46E5"/>
        <bgColor indexed="64"/>
      </patternFill>
    </fill>
    <fill>
      <patternFill patternType="solid">
        <fgColor rgb="FFF3F4F6"/>
        <bgColor indexed="64"/>
      </patternFill>
    </fill>
    <fill>
      <patternFill patternType="solid">
        <fgColor rgb="FFEEF2FF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rgb="FFD1D5DB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2" borderId="0" xfId="0" applyFont="1" applyFill="1" applyAlignment="1">
      <alignment vertical="center"/>
    </xf>
    <xf numFmtId="0" fontId="3" fillId="0" borderId="0" xfId="0" applyFont="1"/>
    <xf numFmtId="165" fontId="0" fillId="0" borderId="0" xfId="0" applyNumberFormat="1"/>
    <xf numFmtId="3" fontId="0" fillId="0" borderId="0" xfId="0" applyNumberFormat="1"/>
    <xf numFmtId="4" fontId="0" fillId="0" borderId="0" xfId="0" applyNumberFormat="1"/>
    <xf numFmtId="0" fontId="4" fillId="0" borderId="0" xfId="0" applyFont="1" applyProtection="1">
      <protection locked="0"/>
    </xf>
    <xf numFmtId="0" fontId="5" fillId="0" borderId="0" xfId="0" applyFont="1"/>
    <xf numFmtId="0" fontId="6" fillId="4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1" fillId="0" borderId="0" xfId="0" applyFont="1"/>
    <xf numFmtId="0" fontId="0" fillId="0" borderId="0" xfId="0" applyAlignment="1">
      <alignment vertical="top" wrapText="1"/>
    </xf>
    <xf numFmtId="0" fontId="1" fillId="3" borderId="1" xfId="0" applyFont="1" applyFill="1" applyBorder="1"/>
    <xf numFmtId="0" fontId="7" fillId="5" borderId="1" xfId="0" applyFont="1" applyFill="1" applyBorder="1" applyAlignment="1">
      <alignment vertical="center" wrapText="1"/>
    </xf>
    <xf numFmtId="3" fontId="8" fillId="5" borderId="1" xfId="0" applyNumberFormat="1" applyFont="1" applyFill="1" applyBorder="1" applyAlignment="1">
      <alignment vertical="center"/>
    </xf>
    <xf numFmtId="0" fontId="6" fillId="3" borderId="1" xfId="0" applyFont="1" applyFill="1" applyBorder="1"/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3" fontId="0" fillId="0" borderId="0" xfId="0" applyNumberFormat="1" applyProtection="1">
      <protection locked="0"/>
    </xf>
    <xf numFmtId="4" fontId="0" fillId="0" borderId="0" xfId="0" applyNumberFormat="1" applyProtection="1">
      <protection locked="0"/>
    </xf>
    <xf numFmtId="0" fontId="0" fillId="0" borderId="0" xfId="0" pivotButton="1"/>
    <xf numFmtId="0" fontId="0" fillId="0" borderId="0" xfId="0" applyAlignment="1">
      <alignment horizontal="left"/>
    </xf>
    <xf numFmtId="22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pivotCacheDefinition" Target="pivotCache/pivotCacheDefinition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c:style val="2"/>
  <c:chart>
    <c:title>
      <c:tx>
        <c:rich>
          <a:bodyPr/>
          <a:lstStyle/>
          <a:p>
            <a:r>
              <a:rPr lang="en-US" sz="1200" b="1">
                <a:solidFill>
                  <a:srgbClr val="4F46E5"/>
                </a:solidFill>
              </a:rPr>
              <a:t>Stock por categoria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Stock por categoria</c:v>
          </c:tx>
          <c:invertIfNegative val="1"/>
          <c:cat>
            <c:strRef>
              <c:f>Dashboard!$K$16:$K$19</c:f>
              <c:strCache>
                <c:ptCount val="4"/>
                <c:pt idx="0">
                  <c:v>Llantas</c:v>
                </c:pt>
                <c:pt idx="1">
                  <c:v>Aceites</c:v>
                </c:pt>
                <c:pt idx="2">
                  <c:v>Filtros</c:v>
                </c:pt>
                <c:pt idx="3">
                  <c:v>Accesorios</c:v>
                </c:pt>
              </c:strCache>
            </c:strRef>
          </c:cat>
          <c:val>
            <c:numRef>
              <c:f>Dashboard!$L$16:$L$19</c:f>
              <c:numCache>
                <c:formatCode>#,##0</c:formatCode>
                <c:ptCount val="4"/>
                <c:pt idx="0">
                  <c:v>40</c:v>
                </c:pt>
                <c:pt idx="1">
                  <c:v>129</c:v>
                </c:pt>
                <c:pt idx="2">
                  <c:v>50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72-3842-83C0-FCBC798F5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20"/>
      </c:barChart>
      <c:catAx>
        <c:axId val="10"/>
        <c:scaling>
          <c:orientation val="minMax"/>
        </c:scaling>
        <c:delete val="0"/>
        <c:axPos val="b"/>
        <c:numFmt formatCode="General" sourceLinked="1"/>
        <c:majorTickMark val="cross"/>
        <c:minorTickMark val="cross"/>
        <c:tickLblPos val="nextTo"/>
        <c:crossAx val="20"/>
        <c:crosses val="autoZero"/>
        <c:auto val="1"/>
        <c:lblAlgn val="ctr"/>
        <c:lblOffset val="100"/>
        <c:noMultiLvlLbl val="1"/>
      </c:catAx>
      <c:valAx>
        <c:axId val="2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cross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c:style val="2"/>
  <c:chart>
    <c:title>
      <c:tx>
        <c:rich>
          <a:bodyPr/>
          <a:lstStyle/>
          <a:p>
            <a:r>
              <a:rPr lang="en-US" sz="1200" b="1">
                <a:solidFill>
                  <a:srgbClr val="4F46E5"/>
                </a:solidFill>
              </a:rPr>
              <a:t>Valor a costo por categoria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Valor a costo por categoria</c:v>
          </c:tx>
          <c:invertIfNegative val="1"/>
          <c:cat>
            <c:strRef>
              <c:f>Dashboard!$N$16:$N$19</c:f>
              <c:strCache>
                <c:ptCount val="4"/>
                <c:pt idx="0">
                  <c:v>Llantas</c:v>
                </c:pt>
                <c:pt idx="1">
                  <c:v>Aceites</c:v>
                </c:pt>
                <c:pt idx="2">
                  <c:v>Filtros</c:v>
                </c:pt>
                <c:pt idx="3">
                  <c:v>Accesorios</c:v>
                </c:pt>
              </c:strCache>
            </c:strRef>
          </c:cat>
          <c:val>
            <c:numRef>
              <c:f>Dashboard!$O$16:$O$19</c:f>
              <c:numCache>
                <c:formatCode>#,##0</c:formatCode>
                <c:ptCount val="4"/>
                <c:pt idx="0">
                  <c:v>91300</c:v>
                </c:pt>
                <c:pt idx="1">
                  <c:v>74450</c:v>
                </c:pt>
                <c:pt idx="2">
                  <c:v>4750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5-9D44-969C-A318CBE4C2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20"/>
      </c:barChart>
      <c:catAx>
        <c:axId val="10"/>
        <c:scaling>
          <c:orientation val="minMax"/>
        </c:scaling>
        <c:delete val="0"/>
        <c:axPos val="b"/>
        <c:numFmt formatCode="General" sourceLinked="1"/>
        <c:majorTickMark val="cross"/>
        <c:minorTickMark val="cross"/>
        <c:tickLblPos val="nextTo"/>
        <c:crossAx val="20"/>
        <c:crosses val="autoZero"/>
        <c:auto val="1"/>
        <c:lblAlgn val="ctr"/>
        <c:lblOffset val="100"/>
        <c:noMultiLvlLbl val="1"/>
      </c:catAx>
      <c:valAx>
        <c:axId val="2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cross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c:style val="2"/>
  <c:chart>
    <c:title>
      <c:tx>
        <c:rich>
          <a:bodyPr/>
          <a:lstStyle/>
          <a:p>
            <a:r>
              <a:rPr lang="en-US" sz="1200" b="1">
                <a:solidFill>
                  <a:srgbClr val="4F46E5"/>
                </a:solidFill>
              </a:rPr>
              <a:t>Salidas por producto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Salidas por producto</c:v>
          </c:tx>
          <c:invertIfNegative val="1"/>
          <c:cat>
            <c:strRef>
              <c:f>Dashboard!$K$31:$K$41</c:f>
              <c:strCache>
                <c:ptCount val="11"/>
                <c:pt idx="0">
                  <c:v>Bridgestone Turanza 215/55R17 94V</c:v>
                </c:pt>
                <c:pt idx="1">
                  <c:v>Filtro de aceite Mobil M1-110</c:v>
                </c:pt>
                <c:pt idx="2">
                  <c:v>Michelin Primacy 4 205/55R16 91V</c:v>
                </c:pt>
                <c:pt idx="3">
                  <c:v>Mobil 1 ESP Formula 5W-40 1L</c:v>
                </c:pt>
                <c:pt idx="4">
                  <c:v>Mobil 1 Full Synthetic 5W-30 5L</c:v>
                </c:pt>
                <c:pt idx="5">
                  <c:v>Castrol GTX 10W-30 4L</c:v>
                </c:pt>
                <c:pt idx="6">
                  <c:v>Castrol Transmax Dexron VI ATF 1L</c:v>
                </c:pt>
                <c:pt idx="7">
                  <c:v>Continental WinterContact 185/65R15</c:v>
                </c:pt>
                <c:pt idx="8">
                  <c:v>Michelin LTX A/T 265/70R17 121S</c:v>
                </c:pt>
                <c:pt idx="9">
                  <c:v>Pirelli Cinturato 225/45R18 95W</c:v>
                </c:pt>
                <c:pt idx="10">
                  <c:v>Shell Rotella T6 15W-40 Diesel 4L</c:v>
                </c:pt>
              </c:strCache>
            </c:strRef>
          </c:cat>
          <c:val>
            <c:numRef>
              <c:f>Dashboard!$L$31:$L$41</c:f>
              <c:numCache>
                <c:formatCode>#,##0</c:formatCode>
                <c:ptCount val="11"/>
                <c:pt idx="0">
                  <c:v>4</c:v>
                </c:pt>
                <c:pt idx="1">
                  <c:v>4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CF-2348-85A4-B6A7D774D1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20"/>
      </c:barChart>
      <c:catAx>
        <c:axId val="10"/>
        <c:scaling>
          <c:orientation val="minMax"/>
        </c:scaling>
        <c:delete val="0"/>
        <c:axPos val="l"/>
        <c:numFmt formatCode="General" sourceLinked="1"/>
        <c:majorTickMark val="cross"/>
        <c:minorTickMark val="cross"/>
        <c:tickLblPos val="nextTo"/>
        <c:crossAx val="20"/>
        <c:crosses val="autoZero"/>
        <c:auto val="1"/>
        <c:lblAlgn val="ctr"/>
        <c:lblOffset val="100"/>
        <c:noMultiLvlLbl val="1"/>
      </c:catAx>
      <c:valAx>
        <c:axId val="20"/>
        <c:scaling>
          <c:orientation val="minMax"/>
        </c:scaling>
        <c:delete val="0"/>
        <c:axPos val="b"/>
        <c:majorGridlines/>
        <c:numFmt formatCode="#,##0" sourceLinked="1"/>
        <c:majorTickMark val="cross"/>
        <c:minorTickMark val="cross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c:style val="2"/>
  <c:chart>
    <c:title>
      <c:tx>
        <c:rich>
          <a:bodyPr/>
          <a:lstStyle/>
          <a:p>
            <a:r>
              <a:rPr lang="en-US" sz="1200" b="1">
                <a:solidFill>
                  <a:srgbClr val="4F46E5"/>
                </a:solidFill>
              </a:rPr>
              <a:t>Alertas operativas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Alertas operativas</c:v>
          </c:tx>
          <c:invertIfNegative val="1"/>
          <c:cat>
            <c:strRef>
              <c:f>Dashboard!$N$31:$N$34</c:f>
              <c:strCache>
                <c:ptCount val="4"/>
                <c:pt idx="0">
                  <c:v>Bajo reorden</c:v>
                </c:pt>
                <c:pt idx="1">
                  <c:v>Caducidad prox. 30 dias</c:v>
                </c:pt>
                <c:pt idx="2">
                  <c:v>Sin movimiento</c:v>
                </c:pt>
                <c:pt idx="3">
                  <c:v>Salidas con DOT</c:v>
                </c:pt>
              </c:strCache>
            </c:strRef>
          </c:cat>
          <c:val>
            <c:numRef>
              <c:f>Dashboard!$O$31:$O$34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7-AC4F-AF9F-BA07A45F82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20"/>
      </c:barChart>
      <c:catAx>
        <c:axId val="10"/>
        <c:scaling>
          <c:orientation val="minMax"/>
        </c:scaling>
        <c:delete val="0"/>
        <c:axPos val="l"/>
        <c:numFmt formatCode="General" sourceLinked="1"/>
        <c:majorTickMark val="cross"/>
        <c:minorTickMark val="cross"/>
        <c:tickLblPos val="nextTo"/>
        <c:crossAx val="20"/>
        <c:crosses val="autoZero"/>
        <c:auto val="1"/>
        <c:lblAlgn val="ctr"/>
        <c:lblOffset val="100"/>
        <c:noMultiLvlLbl val="1"/>
      </c:catAx>
      <c:valAx>
        <c:axId val="20"/>
        <c:scaling>
          <c:orientation val="minMax"/>
        </c:scaling>
        <c:delete val="0"/>
        <c:axPos val="b"/>
        <c:majorGridlines/>
        <c:numFmt formatCode="#,##0" sourceLinked="1"/>
        <c:majorTickMark val="cross"/>
        <c:minorTickMark val="cross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7</xdr:col>
          <xdr:colOff>1219200</xdr:colOff>
          <xdr:row>1</xdr:row>
          <xdr:rowOff>304800</xdr:rowOff>
        </xdr:to>
        <xdr:sp macro="" textlink="">
          <xdr:nvSpPr>
            <xdr:cNvPr id="19457" name="sfBtnShowCrudPanel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0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Abrir Panel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8</xdr:row>
      <xdr:rowOff>0</xdr:rowOff>
    </xdr:from>
    <xdr:to>
      <xdr:col>5</xdr:col>
      <xdr:colOff>0</xdr:colOff>
      <xdr:row>22</xdr:row>
      <xdr:rowOff>0</xdr:rowOff>
    </xdr:to>
    <xdr:graphicFrame macro="">
      <xdr:nvGraphicFramePr>
        <xdr:cNvPr id="2" name="Stock por categoria" descr="Stock por categoria cha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0</xdr:colOff>
      <xdr:row>8</xdr:row>
      <xdr:rowOff>0</xdr:rowOff>
    </xdr:from>
    <xdr:to>
      <xdr:col>10</xdr:col>
      <xdr:colOff>0</xdr:colOff>
      <xdr:row>22</xdr:row>
      <xdr:rowOff>0</xdr:rowOff>
    </xdr:to>
    <xdr:graphicFrame macro="">
      <xdr:nvGraphicFramePr>
        <xdr:cNvPr id="3" name="Valor a costo por categoria" descr="Valor a costo por categoria chart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0</xdr:colOff>
      <xdr:row>24</xdr:row>
      <xdr:rowOff>0</xdr:rowOff>
    </xdr:from>
    <xdr:to>
      <xdr:col>5</xdr:col>
      <xdr:colOff>0</xdr:colOff>
      <xdr:row>38</xdr:row>
      <xdr:rowOff>0</xdr:rowOff>
    </xdr:to>
    <xdr:graphicFrame macro="">
      <xdr:nvGraphicFramePr>
        <xdr:cNvPr id="4" name="Salidas por producto" descr="Salidas por producto cha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</xdr:col>
      <xdr:colOff>0</xdr:colOff>
      <xdr:row>24</xdr:row>
      <xdr:rowOff>0</xdr:rowOff>
    </xdr:from>
    <xdr:to>
      <xdr:col>10</xdr:col>
      <xdr:colOff>0</xdr:colOff>
      <xdr:row>38</xdr:row>
      <xdr:rowOff>0</xdr:rowOff>
    </xdr:to>
    <xdr:graphicFrame macro="">
      <xdr:nvGraphicFramePr>
        <xdr:cNvPr id="5" name="Alertas operativas" descr="Alertas operativas chart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152400</xdr:colOff>
          <xdr:row>0</xdr:row>
          <xdr:rowOff>50800</xdr:rowOff>
        </xdr:from>
        <xdr:to>
          <xdr:col>37</xdr:col>
          <xdr:colOff>495300</xdr:colOff>
          <xdr:row>1</xdr:row>
          <xdr:rowOff>76200</xdr:rowOff>
        </xdr:to>
        <xdr:sp macro="" textlink="">
          <xdr:nvSpPr>
            <xdr:cNvPr id="1036" name="sfBtnNew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2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571500</xdr:colOff>
          <xdr:row>0</xdr:row>
          <xdr:rowOff>50800</xdr:rowOff>
        </xdr:from>
        <xdr:to>
          <xdr:col>39</xdr:col>
          <xdr:colOff>241300</xdr:colOff>
          <xdr:row>1</xdr:row>
          <xdr:rowOff>76200</xdr:rowOff>
        </xdr:to>
        <xdr:sp macro="" textlink="">
          <xdr:nvSpPr>
            <xdr:cNvPr id="1037" name="sfBtnEdit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317500</xdr:colOff>
          <xdr:row>0</xdr:row>
          <xdr:rowOff>50800</xdr:rowOff>
        </xdr:from>
        <xdr:to>
          <xdr:col>40</xdr:col>
          <xdr:colOff>660400</xdr:colOff>
          <xdr:row>1</xdr:row>
          <xdr:rowOff>76200</xdr:rowOff>
        </xdr:to>
        <xdr:sp macro="" textlink="">
          <xdr:nvSpPr>
            <xdr:cNvPr id="1038" name="sfBtnDelete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50800</xdr:rowOff>
        </xdr:from>
        <xdr:to>
          <xdr:col>8</xdr:col>
          <xdr:colOff>495300</xdr:colOff>
          <xdr:row>1</xdr:row>
          <xdr:rowOff>76200</xdr:rowOff>
        </xdr:to>
        <xdr:sp macro="" textlink="">
          <xdr:nvSpPr>
            <xdr:cNvPr id="4102" name="sfBtnNew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571500</xdr:colOff>
          <xdr:row>0</xdr:row>
          <xdr:rowOff>50800</xdr:rowOff>
        </xdr:from>
        <xdr:to>
          <xdr:col>10</xdr:col>
          <xdr:colOff>241300</xdr:colOff>
          <xdr:row>1</xdr:row>
          <xdr:rowOff>76200</xdr:rowOff>
        </xdr:to>
        <xdr:sp macro="" textlink="">
          <xdr:nvSpPr>
            <xdr:cNvPr id="4103" name="sfBtnEdit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317500</xdr:colOff>
          <xdr:row>0</xdr:row>
          <xdr:rowOff>50800</xdr:rowOff>
        </xdr:from>
        <xdr:to>
          <xdr:col>11</xdr:col>
          <xdr:colOff>660400</xdr:colOff>
          <xdr:row>1</xdr:row>
          <xdr:rowOff>76200</xdr:rowOff>
        </xdr:to>
        <xdr:sp macro="" textlink="">
          <xdr:nvSpPr>
            <xdr:cNvPr id="4104" name="sfBtnDelete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152400</xdr:colOff>
          <xdr:row>0</xdr:row>
          <xdr:rowOff>50800</xdr:rowOff>
        </xdr:from>
        <xdr:to>
          <xdr:col>18</xdr:col>
          <xdr:colOff>495300</xdr:colOff>
          <xdr:row>1</xdr:row>
          <xdr:rowOff>76200</xdr:rowOff>
        </xdr:to>
        <xdr:sp macro="" textlink="">
          <xdr:nvSpPr>
            <xdr:cNvPr id="5128" name="sfBtnNew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571500</xdr:colOff>
          <xdr:row>0</xdr:row>
          <xdr:rowOff>50800</xdr:rowOff>
        </xdr:from>
        <xdr:to>
          <xdr:col>20</xdr:col>
          <xdr:colOff>241300</xdr:colOff>
          <xdr:row>1</xdr:row>
          <xdr:rowOff>76200</xdr:rowOff>
        </xdr:to>
        <xdr:sp macro="" textlink="">
          <xdr:nvSpPr>
            <xdr:cNvPr id="5129" name="sfBtnEdit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317500</xdr:colOff>
          <xdr:row>0</xdr:row>
          <xdr:rowOff>50800</xdr:rowOff>
        </xdr:from>
        <xdr:to>
          <xdr:col>21</xdr:col>
          <xdr:colOff>660400</xdr:colOff>
          <xdr:row>1</xdr:row>
          <xdr:rowOff>76200</xdr:rowOff>
        </xdr:to>
        <xdr:sp macro="" textlink="">
          <xdr:nvSpPr>
            <xdr:cNvPr id="5130" name="sfBtnDelete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152400</xdr:colOff>
          <xdr:row>0</xdr:row>
          <xdr:rowOff>50800</xdr:rowOff>
        </xdr:from>
        <xdr:to>
          <xdr:col>18</xdr:col>
          <xdr:colOff>495300</xdr:colOff>
          <xdr:row>1</xdr:row>
          <xdr:rowOff>76200</xdr:rowOff>
        </xdr:to>
        <xdr:sp macro="" textlink="">
          <xdr:nvSpPr>
            <xdr:cNvPr id="6150" name="sfBtnNew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5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571500</xdr:colOff>
          <xdr:row>0</xdr:row>
          <xdr:rowOff>50800</xdr:rowOff>
        </xdr:from>
        <xdr:to>
          <xdr:col>20</xdr:col>
          <xdr:colOff>241300</xdr:colOff>
          <xdr:row>1</xdr:row>
          <xdr:rowOff>76200</xdr:rowOff>
        </xdr:to>
        <xdr:sp macro="" textlink="">
          <xdr:nvSpPr>
            <xdr:cNvPr id="6151" name="sfBtnEdit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5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317500</xdr:colOff>
          <xdr:row>0</xdr:row>
          <xdr:rowOff>50800</xdr:rowOff>
        </xdr:from>
        <xdr:to>
          <xdr:col>21</xdr:col>
          <xdr:colOff>660400</xdr:colOff>
          <xdr:row>1</xdr:row>
          <xdr:rowOff>76200</xdr:rowOff>
        </xdr:to>
        <xdr:sp macro="" textlink="">
          <xdr:nvSpPr>
            <xdr:cNvPr id="6152" name="sfBtnDelete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0</xdr:row>
          <xdr:rowOff>50800</xdr:rowOff>
        </xdr:from>
        <xdr:to>
          <xdr:col>10</xdr:col>
          <xdr:colOff>495300</xdr:colOff>
          <xdr:row>1</xdr:row>
          <xdr:rowOff>76200</xdr:rowOff>
        </xdr:to>
        <xdr:sp macro="" textlink="">
          <xdr:nvSpPr>
            <xdr:cNvPr id="7174" name="sfBtnNew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6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0</xdr:row>
          <xdr:rowOff>50800</xdr:rowOff>
        </xdr:from>
        <xdr:to>
          <xdr:col>12</xdr:col>
          <xdr:colOff>241300</xdr:colOff>
          <xdr:row>1</xdr:row>
          <xdr:rowOff>76200</xdr:rowOff>
        </xdr:to>
        <xdr:sp macro="" textlink="">
          <xdr:nvSpPr>
            <xdr:cNvPr id="7175" name="sfBtnEdit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6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317500</xdr:colOff>
          <xdr:row>0</xdr:row>
          <xdr:rowOff>50800</xdr:rowOff>
        </xdr:from>
        <xdr:to>
          <xdr:col>13</xdr:col>
          <xdr:colOff>660400</xdr:colOff>
          <xdr:row>1</xdr:row>
          <xdr:rowOff>76200</xdr:rowOff>
        </xdr:to>
        <xdr:sp macro="" textlink="">
          <xdr:nvSpPr>
            <xdr:cNvPr id="7176" name="sfBtnDelete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6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0</xdr:row>
          <xdr:rowOff>50800</xdr:rowOff>
        </xdr:from>
        <xdr:to>
          <xdr:col>14</xdr:col>
          <xdr:colOff>495300</xdr:colOff>
          <xdr:row>1</xdr:row>
          <xdr:rowOff>76200</xdr:rowOff>
        </xdr:to>
        <xdr:sp macro="" textlink="">
          <xdr:nvSpPr>
            <xdr:cNvPr id="8196" name="sfBtnNew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7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571500</xdr:colOff>
          <xdr:row>0</xdr:row>
          <xdr:rowOff>50800</xdr:rowOff>
        </xdr:from>
        <xdr:to>
          <xdr:col>16</xdr:col>
          <xdr:colOff>241300</xdr:colOff>
          <xdr:row>1</xdr:row>
          <xdr:rowOff>76200</xdr:rowOff>
        </xdr:to>
        <xdr:sp macro="" textlink="">
          <xdr:nvSpPr>
            <xdr:cNvPr id="8197" name="sfBtnEdit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317500</xdr:colOff>
          <xdr:row>0</xdr:row>
          <xdr:rowOff>50800</xdr:rowOff>
        </xdr:from>
        <xdr:to>
          <xdr:col>17</xdr:col>
          <xdr:colOff>660400</xdr:colOff>
          <xdr:row>1</xdr:row>
          <xdr:rowOff>76200</xdr:rowOff>
        </xdr:to>
        <xdr:sp macro="" textlink="">
          <xdr:nvSpPr>
            <xdr:cNvPr id="8198" name="sfBtnDelete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7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0</xdr:row>
          <xdr:rowOff>50800</xdr:rowOff>
        </xdr:from>
        <xdr:to>
          <xdr:col>10</xdr:col>
          <xdr:colOff>495300</xdr:colOff>
          <xdr:row>1</xdr:row>
          <xdr:rowOff>76200</xdr:rowOff>
        </xdr:to>
        <xdr:sp macro="" textlink="">
          <xdr:nvSpPr>
            <xdr:cNvPr id="9222" name="sfBtnNew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8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0</xdr:row>
          <xdr:rowOff>50800</xdr:rowOff>
        </xdr:from>
        <xdr:to>
          <xdr:col>12</xdr:col>
          <xdr:colOff>241300</xdr:colOff>
          <xdr:row>1</xdr:row>
          <xdr:rowOff>76200</xdr:rowOff>
        </xdr:to>
        <xdr:sp macro="" textlink="">
          <xdr:nvSpPr>
            <xdr:cNvPr id="9223" name="sfBtnEdit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8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317500</xdr:colOff>
          <xdr:row>0</xdr:row>
          <xdr:rowOff>50800</xdr:rowOff>
        </xdr:from>
        <xdr:to>
          <xdr:col>13</xdr:col>
          <xdr:colOff>660400</xdr:colOff>
          <xdr:row>1</xdr:row>
          <xdr:rowOff>76200</xdr:rowOff>
        </xdr:to>
        <xdr:sp macro="" textlink="">
          <xdr:nvSpPr>
            <xdr:cNvPr id="9224" name="sfBtnDelete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8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50800</xdr:rowOff>
        </xdr:from>
        <xdr:to>
          <xdr:col>8</xdr:col>
          <xdr:colOff>495300</xdr:colOff>
          <xdr:row>1</xdr:row>
          <xdr:rowOff>76200</xdr:rowOff>
        </xdr:to>
        <xdr:sp macro="" textlink="">
          <xdr:nvSpPr>
            <xdr:cNvPr id="10242" name="sfBtnNew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571500</xdr:colOff>
          <xdr:row>0</xdr:row>
          <xdr:rowOff>50800</xdr:rowOff>
        </xdr:from>
        <xdr:to>
          <xdr:col>10</xdr:col>
          <xdr:colOff>241300</xdr:colOff>
          <xdr:row>1</xdr:row>
          <xdr:rowOff>76200</xdr:rowOff>
        </xdr:to>
        <xdr:sp macro="" textlink="">
          <xdr:nvSpPr>
            <xdr:cNvPr id="10243" name="sfBtnEdit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9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317500</xdr:colOff>
          <xdr:row>0</xdr:row>
          <xdr:rowOff>50800</xdr:rowOff>
        </xdr:from>
        <xdr:to>
          <xdr:col>11</xdr:col>
          <xdr:colOff>660400</xdr:colOff>
          <xdr:row>1</xdr:row>
          <xdr:rowOff>76200</xdr:rowOff>
        </xdr:to>
        <xdr:sp macro="" textlink="">
          <xdr:nvSpPr>
            <xdr:cNvPr id="10244" name="sfBtnDelete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9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0</xdr:row>
          <xdr:rowOff>50800</xdr:rowOff>
        </xdr:from>
        <xdr:to>
          <xdr:col>12</xdr:col>
          <xdr:colOff>495300</xdr:colOff>
          <xdr:row>1</xdr:row>
          <xdr:rowOff>76200</xdr:rowOff>
        </xdr:to>
        <xdr:sp macro="" textlink="">
          <xdr:nvSpPr>
            <xdr:cNvPr id="11272" name="sfBtnNew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A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571500</xdr:colOff>
          <xdr:row>0</xdr:row>
          <xdr:rowOff>50800</xdr:rowOff>
        </xdr:from>
        <xdr:to>
          <xdr:col>14</xdr:col>
          <xdr:colOff>241300</xdr:colOff>
          <xdr:row>1</xdr:row>
          <xdr:rowOff>76200</xdr:rowOff>
        </xdr:to>
        <xdr:sp macro="" textlink="">
          <xdr:nvSpPr>
            <xdr:cNvPr id="11273" name="sfBtnEdit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A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317500</xdr:colOff>
          <xdr:row>0</xdr:row>
          <xdr:rowOff>50800</xdr:rowOff>
        </xdr:from>
        <xdr:to>
          <xdr:col>15</xdr:col>
          <xdr:colOff>660400</xdr:colOff>
          <xdr:row>1</xdr:row>
          <xdr:rowOff>76200</xdr:rowOff>
        </xdr:to>
        <xdr:sp macro="" textlink="">
          <xdr:nvSpPr>
            <xdr:cNvPr id="11274" name="sfBtnDelete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A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0</xdr:row>
          <xdr:rowOff>50800</xdr:rowOff>
        </xdr:from>
        <xdr:to>
          <xdr:col>10</xdr:col>
          <xdr:colOff>495300</xdr:colOff>
          <xdr:row>1</xdr:row>
          <xdr:rowOff>76200</xdr:rowOff>
        </xdr:to>
        <xdr:sp macro="" textlink="">
          <xdr:nvSpPr>
            <xdr:cNvPr id="12290" name="sfBtnNew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0</xdr:row>
          <xdr:rowOff>50800</xdr:rowOff>
        </xdr:from>
        <xdr:to>
          <xdr:col>12</xdr:col>
          <xdr:colOff>241300</xdr:colOff>
          <xdr:row>1</xdr:row>
          <xdr:rowOff>76200</xdr:rowOff>
        </xdr:to>
        <xdr:sp macro="" textlink="">
          <xdr:nvSpPr>
            <xdr:cNvPr id="12291" name="sfBtnEdit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B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317500</xdr:colOff>
          <xdr:row>0</xdr:row>
          <xdr:rowOff>50800</xdr:rowOff>
        </xdr:from>
        <xdr:to>
          <xdr:col>13</xdr:col>
          <xdr:colOff>660400</xdr:colOff>
          <xdr:row>1</xdr:row>
          <xdr:rowOff>76200</xdr:rowOff>
        </xdr:to>
        <xdr:sp macro="" textlink="">
          <xdr:nvSpPr>
            <xdr:cNvPr id="12292" name="sfBtnDelet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B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0</xdr:row>
          <xdr:rowOff>50800</xdr:rowOff>
        </xdr:from>
        <xdr:to>
          <xdr:col>12</xdr:col>
          <xdr:colOff>495300</xdr:colOff>
          <xdr:row>1</xdr:row>
          <xdr:rowOff>76200</xdr:rowOff>
        </xdr:to>
        <xdr:sp macro="" textlink="">
          <xdr:nvSpPr>
            <xdr:cNvPr id="13316" name="sfBtnNew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C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571500</xdr:colOff>
          <xdr:row>0</xdr:row>
          <xdr:rowOff>50800</xdr:rowOff>
        </xdr:from>
        <xdr:to>
          <xdr:col>14</xdr:col>
          <xdr:colOff>241300</xdr:colOff>
          <xdr:row>1</xdr:row>
          <xdr:rowOff>76200</xdr:rowOff>
        </xdr:to>
        <xdr:sp macro="" textlink="">
          <xdr:nvSpPr>
            <xdr:cNvPr id="13317" name="sfBtnEdit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C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317500</xdr:colOff>
          <xdr:row>0</xdr:row>
          <xdr:rowOff>50800</xdr:rowOff>
        </xdr:from>
        <xdr:to>
          <xdr:col>15</xdr:col>
          <xdr:colOff>660400</xdr:colOff>
          <xdr:row>1</xdr:row>
          <xdr:rowOff>76200</xdr:rowOff>
        </xdr:to>
        <xdr:sp macro="" textlink="">
          <xdr:nvSpPr>
            <xdr:cNvPr id="13318" name="sfBtnDelete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C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152400</xdr:colOff>
          <xdr:row>0</xdr:row>
          <xdr:rowOff>50800</xdr:rowOff>
        </xdr:from>
        <xdr:to>
          <xdr:col>13</xdr:col>
          <xdr:colOff>495300</xdr:colOff>
          <xdr:row>1</xdr:row>
          <xdr:rowOff>76200</xdr:rowOff>
        </xdr:to>
        <xdr:sp macro="" textlink="">
          <xdr:nvSpPr>
            <xdr:cNvPr id="14338" name="sfBtnNew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D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571500</xdr:colOff>
          <xdr:row>0</xdr:row>
          <xdr:rowOff>50800</xdr:rowOff>
        </xdr:from>
        <xdr:to>
          <xdr:col>15</xdr:col>
          <xdr:colOff>241300</xdr:colOff>
          <xdr:row>1</xdr:row>
          <xdr:rowOff>76200</xdr:rowOff>
        </xdr:to>
        <xdr:sp macro="" textlink="">
          <xdr:nvSpPr>
            <xdr:cNvPr id="14339" name="sfBtnEdit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D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317500</xdr:colOff>
          <xdr:row>0</xdr:row>
          <xdr:rowOff>50800</xdr:rowOff>
        </xdr:from>
        <xdr:to>
          <xdr:col>16</xdr:col>
          <xdr:colOff>660400</xdr:colOff>
          <xdr:row>1</xdr:row>
          <xdr:rowOff>76200</xdr:rowOff>
        </xdr:to>
        <xdr:sp macro="" textlink="">
          <xdr:nvSpPr>
            <xdr:cNvPr id="14340" name="sfBtnDelete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D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0</xdr:row>
          <xdr:rowOff>50800</xdr:rowOff>
        </xdr:from>
        <xdr:to>
          <xdr:col>9</xdr:col>
          <xdr:colOff>495300</xdr:colOff>
          <xdr:row>1</xdr:row>
          <xdr:rowOff>76200</xdr:rowOff>
        </xdr:to>
        <xdr:sp macro="" textlink="">
          <xdr:nvSpPr>
            <xdr:cNvPr id="15362" name="sfBtnNew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E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0</xdr:row>
          <xdr:rowOff>50800</xdr:rowOff>
        </xdr:from>
        <xdr:to>
          <xdr:col>11</xdr:col>
          <xdr:colOff>241300</xdr:colOff>
          <xdr:row>1</xdr:row>
          <xdr:rowOff>76200</xdr:rowOff>
        </xdr:to>
        <xdr:sp macro="" textlink="">
          <xdr:nvSpPr>
            <xdr:cNvPr id="15363" name="sfBtnEdit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E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317500</xdr:colOff>
          <xdr:row>0</xdr:row>
          <xdr:rowOff>50800</xdr:rowOff>
        </xdr:from>
        <xdr:to>
          <xdr:col>12</xdr:col>
          <xdr:colOff>660400</xdr:colOff>
          <xdr:row>1</xdr:row>
          <xdr:rowOff>76200</xdr:rowOff>
        </xdr:to>
        <xdr:sp macro="" textlink="">
          <xdr:nvSpPr>
            <xdr:cNvPr id="15364" name="sfBtnDelete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E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0</xdr:row>
          <xdr:rowOff>50800</xdr:rowOff>
        </xdr:from>
        <xdr:to>
          <xdr:col>5</xdr:col>
          <xdr:colOff>495300</xdr:colOff>
          <xdr:row>1</xdr:row>
          <xdr:rowOff>76200</xdr:rowOff>
        </xdr:to>
        <xdr:sp macro="" textlink="">
          <xdr:nvSpPr>
            <xdr:cNvPr id="16386" name="sfBtnNew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F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571500</xdr:colOff>
          <xdr:row>0</xdr:row>
          <xdr:rowOff>50800</xdr:rowOff>
        </xdr:from>
        <xdr:to>
          <xdr:col>7</xdr:col>
          <xdr:colOff>241300</xdr:colOff>
          <xdr:row>1</xdr:row>
          <xdr:rowOff>76200</xdr:rowOff>
        </xdr:to>
        <xdr:sp macro="" textlink="">
          <xdr:nvSpPr>
            <xdr:cNvPr id="16387" name="sfBtnEdit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F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317500</xdr:colOff>
          <xdr:row>0</xdr:row>
          <xdr:rowOff>50800</xdr:rowOff>
        </xdr:from>
        <xdr:to>
          <xdr:col>8</xdr:col>
          <xdr:colOff>660400</xdr:colOff>
          <xdr:row>1</xdr:row>
          <xdr:rowOff>76200</xdr:rowOff>
        </xdr:to>
        <xdr:sp macro="" textlink="">
          <xdr:nvSpPr>
            <xdr:cNvPr id="16388" name="sfBtnDelete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F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0</xdr:row>
          <xdr:rowOff>50800</xdr:rowOff>
        </xdr:from>
        <xdr:to>
          <xdr:col>4</xdr:col>
          <xdr:colOff>495300</xdr:colOff>
          <xdr:row>1</xdr:row>
          <xdr:rowOff>76200</xdr:rowOff>
        </xdr:to>
        <xdr:sp macro="" textlink="">
          <xdr:nvSpPr>
            <xdr:cNvPr id="17410" name="sfBtnNew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10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571500</xdr:colOff>
          <xdr:row>0</xdr:row>
          <xdr:rowOff>50800</xdr:rowOff>
        </xdr:from>
        <xdr:to>
          <xdr:col>6</xdr:col>
          <xdr:colOff>241300</xdr:colOff>
          <xdr:row>1</xdr:row>
          <xdr:rowOff>76200</xdr:rowOff>
        </xdr:to>
        <xdr:sp macro="" textlink="">
          <xdr:nvSpPr>
            <xdr:cNvPr id="17411" name="sfBtnEdit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10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317500</xdr:colOff>
          <xdr:row>0</xdr:row>
          <xdr:rowOff>50800</xdr:rowOff>
        </xdr:from>
        <xdr:to>
          <xdr:col>7</xdr:col>
          <xdr:colOff>660400</xdr:colOff>
          <xdr:row>1</xdr:row>
          <xdr:rowOff>76200</xdr:rowOff>
        </xdr:to>
        <xdr:sp macro="" textlink="">
          <xdr:nvSpPr>
            <xdr:cNvPr id="17412" name="sfBtnDelete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10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0</xdr:row>
          <xdr:rowOff>50800</xdr:rowOff>
        </xdr:from>
        <xdr:to>
          <xdr:col>4</xdr:col>
          <xdr:colOff>495300</xdr:colOff>
          <xdr:row>1</xdr:row>
          <xdr:rowOff>76200</xdr:rowOff>
        </xdr:to>
        <xdr:sp macro="" textlink="">
          <xdr:nvSpPr>
            <xdr:cNvPr id="18434" name="sfBtnNew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11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571500</xdr:colOff>
          <xdr:row>0</xdr:row>
          <xdr:rowOff>50800</xdr:rowOff>
        </xdr:from>
        <xdr:to>
          <xdr:col>6</xdr:col>
          <xdr:colOff>241300</xdr:colOff>
          <xdr:row>1</xdr:row>
          <xdr:rowOff>76200</xdr:rowOff>
        </xdr:to>
        <xdr:sp macro="" textlink="">
          <xdr:nvSpPr>
            <xdr:cNvPr id="18435" name="sfBtnEdit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11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317500</xdr:colOff>
          <xdr:row>0</xdr:row>
          <xdr:rowOff>50800</xdr:rowOff>
        </xdr:from>
        <xdr:to>
          <xdr:col>7</xdr:col>
          <xdr:colOff>660400</xdr:colOff>
          <xdr:row>1</xdr:row>
          <xdr:rowOff>76200</xdr:rowOff>
        </xdr:to>
        <xdr:sp macro="" textlink="">
          <xdr:nvSpPr>
            <xdr:cNvPr id="18436" name="sfBtnDelete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11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Angel Salazar" refreshedDate="46189.802218287034" createdVersion="6" refreshedVersion="8" minRefreshableVersion="3" recordCount="11" xr:uid="{00000000-000A-0000-FFFF-FFFF01000000}">
  <cacheSource type="worksheet">
    <worksheetSource name="tblTransacciones"/>
  </cacheSource>
  <cacheFields count="17">
    <cacheField name="Id" numFmtId="3">
      <sharedItems containsSemiMixedTypes="0" containsString="0" containsNumber="1" containsInteger="1" minValue="1" maxValue="11"/>
    </cacheField>
    <cacheField name="Cantidad" numFmtId="4">
      <sharedItems containsSemiMixedTypes="0" containsString="0" containsNumber="1" containsInteger="1" minValue="1" maxValue="35"/>
    </cacheField>
    <cacheField name="Costo Unitario" numFmtId="4">
      <sharedItems containsSemiMixedTypes="0" containsString="0" containsNumber="1" containsInteger="1" minValue="95" maxValue="2450"/>
    </cacheField>
    <cacheField name="Created At" numFmtId="165">
      <sharedItems containsSemiMixedTypes="0" containsNonDate="0" containsDate="1" containsString="0" minDate="2026-06-16T21:52:00" maxDate="2026-06-16T21:52:00"/>
    </cacheField>
    <cacheField name="Dot Number" numFmtId="0">
      <sharedItems containsBlank="1"/>
    </cacheField>
    <cacheField name="Fecha" numFmtId="165">
      <sharedItems containsSemiMixedTypes="0" containsNonDate="0" containsDate="1" containsString="0" minDate="2026-06-01T09:30:00" maxDate="2026-06-14T17:30:00" count="11">
        <d v="2026-06-01T09:30:00"/>
        <d v="2026-06-01T10:00:00"/>
        <d v="2026-06-02T08:15:00"/>
        <d v="2026-06-02T11:45:00"/>
        <d v="2026-06-03T14:20:00"/>
        <d v="2026-06-10T12:00:00"/>
        <d v="2026-06-11T15:30:00"/>
        <d v="2026-06-12T09:00:00"/>
        <d v="2026-06-13T16:00:00"/>
        <d v="2026-06-14T11:00:00"/>
        <d v="2026-06-14T17:30:00"/>
      </sharedItems>
    </cacheField>
    <cacheField name="Lote Batch" numFmtId="0">
      <sharedItems containsBlank="1"/>
    </cacheField>
    <cacheField name="Notas" numFmtId="0">
      <sharedItems containsBlank="1"/>
    </cacheField>
    <cacheField name="Producto Id" numFmtId="3">
      <sharedItems containsSemiMixedTypes="0" containsString="0" containsNumber="1" containsInteger="1" minValue="1" maxValue="11"/>
    </cacheField>
    <cacheField name="Producto Id (lookup)" numFmtId="0">
      <sharedItems/>
    </cacheField>
    <cacheField name="Referencia" numFmtId="0">
      <sharedItems/>
    </cacheField>
    <cacheField name="Tipo Movimiento" numFmtId="0">
      <sharedItems count="3">
        <s v="Entrada"/>
        <s v="Salida"/>
        <s v="Ajuste (+)"/>
      </sharedItems>
    </cacheField>
    <cacheField name="Ubicacion Destino Id" numFmtId="3">
      <sharedItems containsNonDate="0" containsString="0" containsBlank="1"/>
    </cacheField>
    <cacheField name="Ubicacion Destino Id (lookup)" numFmtId="0">
      <sharedItems/>
    </cacheField>
    <cacheField name="Ubicacion Id" numFmtId="3">
      <sharedItems containsSemiMixedTypes="0" containsString="0" containsNumber="1" containsInteger="1" minValue="1" maxValue="6"/>
    </cacheField>
    <cacheField name="Ubicacion Id (lookup)" numFmtId="0">
      <sharedItems/>
    </cacheField>
    <cacheField name="Usuario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Angel Salazar" refreshedDate="46189.80221840278" createdVersion="6" refreshedVersion="8" minRefreshableVersion="3" recordCount="11" xr:uid="{00000000-000A-0000-FFFF-FFFF02000000}">
  <cacheSource type="worksheet">
    <worksheetSource name="tblTransacciones"/>
  </cacheSource>
  <cacheFields count="17">
    <cacheField name="Id" numFmtId="3">
      <sharedItems containsSemiMixedTypes="0" containsString="0" containsNumber="1" containsInteger="1" minValue="1" maxValue="11"/>
    </cacheField>
    <cacheField name="Cantidad" numFmtId="4">
      <sharedItems containsSemiMixedTypes="0" containsString="0" containsNumber="1" containsInteger="1" minValue="1" maxValue="35"/>
    </cacheField>
    <cacheField name="Costo Unitario" numFmtId="4">
      <sharedItems containsSemiMixedTypes="0" containsString="0" containsNumber="1" containsInteger="1" minValue="95" maxValue="2450"/>
    </cacheField>
    <cacheField name="Created At" numFmtId="165">
      <sharedItems containsSemiMixedTypes="0" containsNonDate="0" containsDate="1" containsString="0" minDate="2026-06-16T21:52:00" maxDate="2026-06-16T21:52:00"/>
    </cacheField>
    <cacheField name="Dot Number" numFmtId="0">
      <sharedItems containsBlank="1"/>
    </cacheField>
    <cacheField name="Fecha" numFmtId="165">
      <sharedItems containsSemiMixedTypes="0" containsNonDate="0" containsDate="1" containsString="0" minDate="2026-06-01T09:30:00" maxDate="2026-06-14T17:30:00"/>
    </cacheField>
    <cacheField name="Lote Batch" numFmtId="0">
      <sharedItems containsBlank="1"/>
    </cacheField>
    <cacheField name="Notas" numFmtId="0">
      <sharedItems containsBlank="1"/>
    </cacheField>
    <cacheField name="Producto Id" numFmtId="3">
      <sharedItems containsSemiMixedTypes="0" containsString="0" containsNumber="1" containsInteger="1" minValue="1" maxValue="11"/>
    </cacheField>
    <cacheField name="Producto Id (lookup)" numFmtId="0">
      <sharedItems count="8">
        <s v="Michelin Primacy 4 205/55R16 91V"/>
        <s v="Bridgestone Turanza 215/55R17 94V"/>
        <s v="Pirelli Cinturato 225/45R18 95W"/>
        <s v="Mobil 1 Full Synthetic 5W-30 5L"/>
        <s v="Castrol GTX 10W-30 4L"/>
        <s v="Mobil 1 ESP Formula 5W-40 1L"/>
        <s v="Filtro de aceite Mobil M1-110"/>
        <s v="Castrol Transmax Dexron VI ATF 1L"/>
      </sharedItems>
    </cacheField>
    <cacheField name="Referencia" numFmtId="0">
      <sharedItems/>
    </cacheField>
    <cacheField name="Tipo Movimiento" numFmtId="0">
      <sharedItems count="3">
        <s v="Entrada"/>
        <s v="Salida"/>
        <s v="Ajuste (+)"/>
      </sharedItems>
    </cacheField>
    <cacheField name="Ubicacion Destino Id" numFmtId="3">
      <sharedItems containsNonDate="0" containsString="0" containsBlank="1"/>
    </cacheField>
    <cacheField name="Ubicacion Destino Id (lookup)" numFmtId="0">
      <sharedItems/>
    </cacheField>
    <cacheField name="Ubicacion Id" numFmtId="3">
      <sharedItems containsSemiMixedTypes="0" containsString="0" containsNumber="1" containsInteger="1" minValue="1" maxValue="6"/>
    </cacheField>
    <cacheField name="Ubicacion Id (lookup)" numFmtId="0">
      <sharedItems/>
    </cacheField>
    <cacheField name="Usuario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Angel Salazar" refreshedDate="46189.80221840278" createdVersion="6" refreshedVersion="8" minRefreshableVersion="3" recordCount="11" xr:uid="{00000000-000A-0000-FFFF-FFFF03000000}">
  <cacheSource type="worksheet">
    <worksheetSource name="tblStockPorUbicacion"/>
  </cacheSource>
  <cacheFields count="7">
    <cacheField name="Id" numFmtId="3">
      <sharedItems containsSemiMixedTypes="0" containsString="0" containsNumber="1" containsInteger="1" minValue="1" maxValue="11"/>
    </cacheField>
    <cacheField name="Cantidad" numFmtId="3">
      <sharedItems containsSemiMixedTypes="0" containsString="0" containsNumber="1" containsInteger="1" minValue="4" maxValue="50"/>
    </cacheField>
    <cacheField name="Producto Id" numFmtId="3">
      <sharedItems containsSemiMixedTypes="0" containsString="0" containsNumber="1" containsInteger="1" minValue="1" maxValue="11"/>
    </cacheField>
    <cacheField name="Producto Id (lookup)" numFmtId="0">
      <sharedItems/>
    </cacheField>
    <cacheField name="Ubicacion Id" numFmtId="3">
      <sharedItems containsSemiMixedTypes="0" containsString="0" containsNumber="1" containsInteger="1" minValue="1" maxValue="6"/>
    </cacheField>
    <cacheField name="Ubicacion Id (lookup)" numFmtId="0">
      <sharedItems count="6">
        <s v="Rack Llantas A-01"/>
        <s v="Rack Llantas A-02"/>
        <s v="Rack Llantas A-03"/>
        <s v="Estante Aceites Norte"/>
        <s v="Estante Aceites Sur"/>
        <s v="Mostrador"/>
      </sharedItems>
    </cacheField>
    <cacheField name="Updated At" numFmtId="165">
      <sharedItems containsSemiMixedTypes="0" containsNonDate="0" containsDate="1" containsString="0" minDate="2026-06-16T21:52:00" maxDate="2026-06-16T21:52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Angel Salazar" refreshedDate="46189.802218518518" createdVersion="6" refreshedVersion="8" minRefreshableVersion="3" recordCount="11" xr:uid="{00000000-000A-0000-FFFF-FFFF04000000}">
  <cacheSource type="worksheet">
    <worksheetSource name="tblStockPorUbicacion"/>
  </cacheSource>
  <cacheFields count="7">
    <cacheField name="Id" numFmtId="3">
      <sharedItems containsSemiMixedTypes="0" containsString="0" containsNumber="1" containsInteger="1" minValue="1" maxValue="11"/>
    </cacheField>
    <cacheField name="Cantidad" numFmtId="3">
      <sharedItems containsSemiMixedTypes="0" containsString="0" containsNumber="1" containsInteger="1" minValue="4" maxValue="50"/>
    </cacheField>
    <cacheField name="Producto Id" numFmtId="3">
      <sharedItems containsSemiMixedTypes="0" containsString="0" containsNumber="1" containsInteger="1" minValue="1" maxValue="11"/>
    </cacheField>
    <cacheField name="Producto Id (lookup)" numFmtId="0">
      <sharedItems count="11">
        <s v="Michelin Primacy 4 205/55R16 91V"/>
        <s v="Bridgestone Turanza 215/55R17 94V"/>
        <s v="Pirelli Cinturato 225/45R18 95W"/>
        <s v="Continental WinterContact 185/65R15"/>
        <s v="Michelin LTX A/T 265/70R17 121S"/>
        <s v="Mobil 1 Full Synthetic 5W-30 5L"/>
        <s v="Castrol GTX 10W-30 4L"/>
        <s v="Shell Rotella T6 15W-40 Diesel 4L"/>
        <s v="Mobil 1 ESP Formula 5W-40 1L"/>
        <s v="Castrol Transmax Dexron VI ATF 1L"/>
        <s v="Filtro de aceite Mobil M1-110"/>
      </sharedItems>
    </cacheField>
    <cacheField name="Ubicacion Id" numFmtId="3">
      <sharedItems containsSemiMixedTypes="0" containsString="0" containsNumber="1" containsInteger="1" minValue="1" maxValue="6"/>
    </cacheField>
    <cacheField name="Ubicacion Id (lookup)" numFmtId="0">
      <sharedItems count="6">
        <s v="Rack Llantas A-01"/>
        <s v="Rack Llantas A-02"/>
        <s v="Rack Llantas A-03"/>
        <s v="Estante Aceites Norte"/>
        <s v="Estante Aceites Sur"/>
        <s v="Mostrador"/>
      </sharedItems>
    </cacheField>
    <cacheField name="Updated At" numFmtId="165">
      <sharedItems containsSemiMixedTypes="0" containsNonDate="0" containsDate="1" containsString="0" minDate="2026-06-16T21:52:00" maxDate="2026-06-16T21:52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Angel Salazar" refreshedDate="46189.802218518518" createdVersion="6" refreshedVersion="8" minRefreshableVersion="3" recordCount="5" xr:uid="{00000000-000A-0000-FFFF-FFFF05000000}">
  <cacheSource type="worksheet">
    <worksheetSource name="tblDetalleOrdenCompra"/>
  </cacheSource>
  <cacheFields count="9">
    <cacheField name="Id" numFmtId="3">
      <sharedItems containsSemiMixedTypes="0" containsString="0" containsNumber="1" containsInteger="1" minValue="1" maxValue="5"/>
    </cacheField>
    <cacheField name="Cantidad" numFmtId="4">
      <sharedItems containsSemiMixedTypes="0" containsString="0" containsNumber="1" containsInteger="1" minValue="6" maxValue="35"/>
    </cacheField>
    <cacheField name="Cantidad Recibida" numFmtId="4">
      <sharedItems containsSemiMixedTypes="0" containsString="0" containsNumber="1" containsInteger="1" minValue="6" maxValue="35"/>
    </cacheField>
    <cacheField name="Orden Compra Id" numFmtId="3">
      <sharedItems containsSemiMixedTypes="0" containsString="0" containsNumber="1" containsInteger="1" minValue="1" maxValue="2"/>
    </cacheField>
    <cacheField name="Orden Compra Id (lookup)" numFmtId="165">
      <sharedItems containsSemiMixedTypes="0" containsNonDate="0" containsDate="1" containsString="0" minDate="2026-06-16T21:52:00" maxDate="2026-06-16T21:52:00"/>
    </cacheField>
    <cacheField name="Precio Unitario" numFmtId="4">
      <sharedItems containsSemiMixedTypes="0" containsString="0" containsNumber="1" containsInteger="1" minValue="620" maxValue="2450"/>
    </cacheField>
    <cacheField name="Producto Id" numFmtId="3">
      <sharedItems containsSemiMixedTypes="0" containsString="0" containsNumber="1" containsInteger="1" minValue="1" maxValue="7"/>
    </cacheField>
    <cacheField name="Producto Id (lookup)" numFmtId="0">
      <sharedItems count="5">
        <s v="Michelin Primacy 4 205/55R16 91V"/>
        <s v="Bridgestone Turanza 215/55R17 94V"/>
        <s v="Pirelli Cinturato 225/45R18 95W"/>
        <s v="Mobil 1 Full Synthetic 5W-30 5L"/>
        <s v="Castrol GTX 10W-30 4L"/>
      </sharedItems>
    </cacheField>
    <cacheField name="Subtotal" numFmtId="4">
      <sharedItems containsSemiMixedTypes="0" containsString="0" containsNumber="1" containsInteger="1" minValue="13640" maxValue="332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Angel Salazar" refreshedDate="46189.802218634257" createdVersion="6" refreshedVersion="8" minRefreshableVersion="3" recordCount="5" xr:uid="{00000000-000A-0000-FFFF-FFFF06000000}">
  <cacheSource type="worksheet">
    <worksheetSource name="tblDetalleOrdenServicio"/>
  </cacheSource>
  <cacheFields count="9">
    <cacheField name="Id" numFmtId="3">
      <sharedItems containsSemiMixedTypes="0" containsString="0" containsNumber="1" containsInteger="1" minValue="1" maxValue="5"/>
    </cacheField>
    <cacheField name="Cantidad" numFmtId="4">
      <sharedItems containsSemiMixedTypes="0" containsString="0" containsNumber="1" containsInteger="1" minValue="1" maxValue="4"/>
    </cacheField>
    <cacheField name="Notas" numFmtId="0">
      <sharedItems containsNonDate="0" containsString="0" containsBlank="1"/>
    </cacheField>
    <cacheField name="Orden Servicio Id" numFmtId="3">
      <sharedItems containsSemiMixedTypes="0" containsString="0" containsNumber="1" containsInteger="1" minValue="1" maxValue="5"/>
    </cacheField>
    <cacheField name="Orden Servicio Id (lookup)" numFmtId="165">
      <sharedItems containsSemiMixedTypes="0" containsNonDate="0" containsDate="1" containsString="0" minDate="2026-06-16T21:52:00" maxDate="2026-06-16T21:52:00"/>
    </cacheField>
    <cacheField name="Precio Unitario" numFmtId="4">
      <sharedItems containsSemiMixedTypes="0" containsString="0" containsNumber="1" containsInteger="1" minValue="145" maxValue="2890"/>
    </cacheField>
    <cacheField name="Producto Id" numFmtId="3">
      <sharedItems containsSemiMixedTypes="0" containsString="0" containsNumber="1" containsInteger="1" minValue="1" maxValue="11"/>
    </cacheField>
    <cacheField name="Producto Id (lookup)" numFmtId="0">
      <sharedItems count="5">
        <s v="Michelin Primacy 4 205/55R16 91V"/>
        <s v="Mobil 1 Full Synthetic 5W-30 5L"/>
        <s v="Bridgestone Turanza 215/55R17 94V"/>
        <s v="Mobil 1 ESP Formula 5W-40 1L"/>
        <s v="Filtro de aceite Mobil M1-110"/>
      </sharedItems>
    </cacheField>
    <cacheField name="Subtotal" numFmtId="4">
      <sharedItems containsSemiMixedTypes="0" containsString="0" containsNumber="1" containsInteger="1" minValue="580" maxValue="1156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A00-000000000000}" name="ptMovimientosProducto" cacheId="91" applyNumberFormats="0" applyBorderFormats="0" applyFontFormats="0" applyPatternFormats="0" applyAlignmentFormats="0" applyWidthHeightFormats="1" dataCaption="Values" updatedVersion="8" minRefreshableVersion="3" useAutoFormatting="1">
  <location ref="B41:F51" firstHeaderRow="1" firstDataRow="2" firstDataCol="1"/>
  <pivotFields count="17">
    <pivotField numFmtId="3" showAll="0" includeNewItemsInFilter="1"/>
    <pivotField dataField="1" showAll="0" defaultSubtotal="0"/>
    <pivotField numFmtId="4" showAll="0" includeNewItemsInFilter="1"/>
    <pivotField numFmtId="165" showAll="0" includeNewItemsInFilter="1"/>
    <pivotField showAll="0" includeNewItemsInFilter="1"/>
    <pivotField numFmtId="165" showAll="0" includeNewItemsInFilter="1"/>
    <pivotField showAll="0" includeNewItemsInFilter="1"/>
    <pivotField showAll="0" includeNewItemsInFilter="1"/>
    <pivotField numFmtId="3" showAll="0" includeNewItemsInFilter="1"/>
    <pivotField axis="axisRow" showAll="0" defaultSubtotal="0">
      <items count="8">
        <item x="0"/>
        <item x="1"/>
        <item x="2"/>
        <item x="3"/>
        <item x="4"/>
        <item x="5"/>
        <item x="6"/>
        <item x="7"/>
      </items>
    </pivotField>
    <pivotField showAll="0" includeNewItemsInFilter="1"/>
    <pivotField axis="axisCol" showAll="0" defaultSubtotal="0">
      <items count="3">
        <item x="0"/>
        <item x="1"/>
        <item x="2"/>
      </items>
    </pivotField>
    <pivotField showAll="0" includeNewItemsInFilter="1"/>
    <pivotField showAll="0" includeNewItemsInFilter="1"/>
    <pivotField numFmtId="3" showAll="0" includeNewItemsInFilter="1"/>
    <pivotField showAll="0" includeNewItemsInFilter="1"/>
    <pivotField showAll="0" includeNewItemsInFilter="1"/>
  </pivotFields>
  <rowFields count="1">
    <field x="9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11"/>
  </colFields>
  <colItems count="4">
    <i>
      <x/>
    </i>
    <i>
      <x v="1"/>
    </i>
    <i>
      <x v="2"/>
    </i>
    <i t="grand">
      <x/>
    </i>
  </colItems>
  <dataFields count="1">
    <dataField name="Cantidad total" fld="1" baseField="0" baseItem="0"/>
  </dataField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A00-000001000000}" name="ptMovimientosTipoFecha" cacheId="86" applyNumberFormats="0" applyBorderFormats="0" applyFontFormats="0" applyPatternFormats="0" applyAlignmentFormats="0" applyWidthHeightFormats="1" dataCaption="Values" updatedVersion="8" minRefreshableVersion="3" useAutoFormatting="1">
  <location ref="B7:N12" firstHeaderRow="1" firstDataRow="2" firstDataCol="1"/>
  <pivotFields count="17">
    <pivotField numFmtId="3" showAll="0" includeNewItemsInFilter="1"/>
    <pivotField dataField="1" showAll="0" defaultSubtotal="0"/>
    <pivotField numFmtId="4" showAll="0" includeNewItemsInFilter="1"/>
    <pivotField numFmtId="165" showAll="0" includeNewItemsInFilter="1"/>
    <pivotField showAll="0" includeNewItemsInFilter="1"/>
    <pivotField axis="axisCol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showAll="0" includeNewItemsInFilter="1"/>
    <pivotField showAll="0" includeNewItemsInFilter="1"/>
    <pivotField numFmtId="3" showAll="0" includeNewItemsInFilter="1"/>
    <pivotField showAll="0" includeNewItemsInFilter="1"/>
    <pivotField showAll="0" includeNewItemsInFilter="1"/>
    <pivotField axis="axisRow" showAll="0" defaultSubtotal="0">
      <items count="3">
        <item x="0"/>
        <item x="1"/>
        <item x="2"/>
      </items>
    </pivotField>
    <pivotField showAll="0" includeNewItemsInFilter="1"/>
    <pivotField showAll="0" includeNewItemsInFilter="1"/>
    <pivotField numFmtId="3" showAll="0" includeNewItemsInFilter="1"/>
    <pivotField showAll="0" includeNewItemsInFilter="1"/>
    <pivotField showAll="0" includeNewItemsInFilter="1"/>
  </pivotFields>
  <rowFields count="1">
    <field x="11"/>
  </rowFields>
  <rowItems count="4">
    <i>
      <x/>
    </i>
    <i>
      <x v="1"/>
    </i>
    <i>
      <x v="2"/>
    </i>
    <i t="grand">
      <x/>
    </i>
  </rowItems>
  <colFields count="1">
    <field x="5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dataFields count="1">
    <dataField name="Cantidad total" fld="1" baseField="0" baseItem="0"/>
  </dataField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B00-000002000000}" name="ptStockUbicacion" cacheId="95" applyNumberFormats="0" applyBorderFormats="0" applyFontFormats="0" applyPatternFormats="0" applyAlignmentFormats="0" applyWidthHeightFormats="1" dataCaption="Values" updatedVersion="8" minRefreshableVersion="3" useAutoFormatting="1">
  <location ref="B7:C14" firstHeaderRow="1" firstDataRow="1" firstDataCol="1"/>
  <pivotFields count="7">
    <pivotField numFmtId="3" showAll="0" includeNewItemsInFilter="1"/>
    <pivotField dataField="1" showAll="0" defaultSubtotal="0"/>
    <pivotField numFmtId="3" showAll="0" includeNewItemsInFilter="1"/>
    <pivotField showAll="0" includeNewItemsInFilter="1"/>
    <pivotField numFmtId="3" showAll="0" includeNewItemsInFilter="1"/>
    <pivotField axis="axisRow" showAll="0" defaultSubtotal="0">
      <items count="6">
        <item x="0"/>
        <item x="1"/>
        <item x="2"/>
        <item x="3"/>
        <item x="4"/>
        <item x="5"/>
      </items>
    </pivotField>
    <pivotField numFmtId="165" showAll="0" includeNewItemsInFilter="1"/>
  </pivotFields>
  <rowFields count="1">
    <field x="5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tock total" fld="1" baseField="0" baseItem="0"/>
  </dataField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B00-000003000000}" name="ptStockProductoUbicacion" cacheId="100" applyNumberFormats="0" applyBorderFormats="0" applyFontFormats="0" applyPatternFormats="0" applyAlignmentFormats="0" applyWidthHeightFormats="1" dataCaption="Values" updatedVersion="8" minRefreshableVersion="3" useAutoFormatting="1">
  <location ref="B41:I54" firstHeaderRow="1" firstDataRow="2" firstDataCol="1"/>
  <pivotFields count="7">
    <pivotField numFmtId="3" showAll="0" includeNewItemsInFilter="1"/>
    <pivotField dataField="1" showAll="0" defaultSubtotal="0"/>
    <pivotField numFmtId="3" showAll="0" includeNewItemsInFilter="1"/>
    <pivotField axis="axisRow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numFmtId="3" showAll="0" includeNewItemsInFilter="1"/>
    <pivotField axis="axisCol" showAll="0" defaultSubtotal="0">
      <items count="6">
        <item x="0"/>
        <item x="1"/>
        <item x="2"/>
        <item x="3"/>
        <item x="4"/>
        <item x="5"/>
      </items>
    </pivotField>
    <pivotField numFmtId="165" showAll="0" includeNewItemsInFilter="1"/>
  </pivotFields>
  <rowFields count="1">
    <field x="3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5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tock total" fld="1" baseField="0" baseItem="0"/>
  </dataField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C00-000004000000}" name="ptComprasProducto" cacheId="104" applyNumberFormats="0" applyBorderFormats="0" applyFontFormats="0" applyPatternFormats="0" applyAlignmentFormats="0" applyWidthHeightFormats="1" dataCaption="Values" updatedVersion="8" minRefreshableVersion="3" useAutoFormatting="1">
  <location ref="B7:D14" firstHeaderRow="1" firstDataRow="2" firstDataCol="1"/>
  <pivotFields count="9">
    <pivotField numFmtId="3" showAll="0" includeNewItemsInFilter="1"/>
    <pivotField dataField="1" showAll="0" defaultSubtotal="0"/>
    <pivotField numFmtId="4" showAll="0" includeNewItemsInFilter="1"/>
    <pivotField numFmtId="3" showAll="0" includeNewItemsInFilter="1"/>
    <pivotField numFmtId="165" showAll="0" includeNewItemsInFilter="1"/>
    <pivotField numFmtId="4" showAll="0" includeNewItemsInFilter="1"/>
    <pivotField numFmtId="3" showAll="0" includeNewItemsInFilter="1"/>
    <pivotField axis="axisRow" showAll="0" defaultSubtotal="0">
      <items count="5">
        <item x="0"/>
        <item x="1"/>
        <item x="2"/>
        <item x="3"/>
        <item x="4"/>
      </items>
    </pivotField>
    <pivotField dataField="1" showAll="0" defaultSubtotal="0"/>
  </pivotFields>
  <rowFields count="1">
    <field x="7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 total" fld="1" baseField="0" baseItem="0"/>
    <dataField name="Subtotal total" fld="8" baseField="0" baseItem="0"/>
  </dataField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D00-000005000000}" name="ptServiciosProducto" cacheId="108" applyNumberFormats="0" applyBorderFormats="0" applyFontFormats="0" applyPatternFormats="0" applyAlignmentFormats="0" applyWidthHeightFormats="1" dataCaption="Values" updatedVersion="8" minRefreshableVersion="3" useAutoFormatting="1">
  <location ref="B7:D14" firstHeaderRow="1" firstDataRow="2" firstDataCol="1"/>
  <pivotFields count="9">
    <pivotField numFmtId="3" showAll="0" includeNewItemsInFilter="1"/>
    <pivotField dataField="1" showAll="0" defaultSubtotal="0"/>
    <pivotField showAll="0" includeNewItemsInFilter="1"/>
    <pivotField numFmtId="3" showAll="0" includeNewItemsInFilter="1"/>
    <pivotField numFmtId="165" showAll="0" includeNewItemsInFilter="1"/>
    <pivotField numFmtId="4" showAll="0" includeNewItemsInFilter="1"/>
    <pivotField numFmtId="3" showAll="0" includeNewItemsInFilter="1"/>
    <pivotField axis="axisRow" showAll="0" defaultSubtotal="0">
      <items count="5">
        <item x="0"/>
        <item x="1"/>
        <item x="2"/>
        <item x="3"/>
        <item x="4"/>
      </items>
    </pivotField>
    <pivotField dataField="1" showAll="0" defaultSubtotal="0"/>
  </pivotFields>
  <rowFields count="1">
    <field x="7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 total" fld="1" baseField="0" baseItem="0"/>
    <dataField name="Subtotal total" fld="8" baseField="0" baseItem="0"/>
  </dataField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Productos" displayName="tblProductos" ref="A1:AJ12" totalsRowShown="0">
  <autoFilter ref="A1:AJ12" xr:uid="{00000000-0009-0000-0100-000001000000}"/>
  <tableColumns count="36">
    <tableColumn id="1" xr3:uid="{00000000-0010-0000-0000-000001000000}" name="Id"/>
    <tableColumn id="2" xr3:uid="{00000000-0010-0000-0000-000002000000}" name="Sku"/>
    <tableColumn id="3" xr3:uid="{00000000-0010-0000-0000-000003000000}" name="Codigo Barras"/>
    <tableColumn id="4" xr3:uid="{00000000-0010-0000-0000-000004000000}" name="Nombre"/>
    <tableColumn id="5" xr3:uid="{00000000-0010-0000-0000-000005000000}" name="Categoria Id"/>
    <tableColumn id="6" xr3:uid="{00000000-0010-0000-0000-000006000000}" name="Categoria Id (lookup)">
      <calculatedColumnFormula>IFERROR(INDEX(tblCategoriasProducto[Nombre],MATCH(tblProductos[[#This Row],[Categoria Id]],tblCategoriasProducto[Id],0)),"")</calculatedColumnFormula>
    </tableColumn>
    <tableColumn id="7" xr3:uid="{00000000-0010-0000-0000-000007000000}" name="Marca Id"/>
    <tableColumn id="8" xr3:uid="{00000000-0010-0000-0000-000008000000}" name="Marca Id (lookup)">
      <calculatedColumnFormula>IFERROR(INDEX(tblMarcas[Nombre],MATCH(tblProductos[[#This Row],[Marca Id]],tblMarcas[Id],0)),"")</calculatedColumnFormula>
    </tableColumn>
    <tableColumn id="9" xr3:uid="{00000000-0010-0000-0000-000009000000}" name="Unidad Id"/>
    <tableColumn id="10" xr3:uid="{00000000-0010-0000-0000-00000A000000}" name="Unidad Id (lookup)">
      <calculatedColumnFormula>IFERROR(INDEX(tblUnidades[Nombre],MATCH(tblProductos[[#This Row],[Unidad Id]],tblUnidades[Id],0)),"")</calculatedColumnFormula>
    </tableColumn>
    <tableColumn id="11" xr3:uid="{00000000-0010-0000-0000-00000B000000}" name="Precio Costo"/>
    <tableColumn id="12" xr3:uid="{00000000-0010-0000-0000-00000C000000}" name="Precio Venta"/>
    <tableColumn id="13" xr3:uid="{00000000-0010-0000-0000-00000D000000}" name="Stock Minimo"/>
    <tableColumn id="14" xr3:uid="{00000000-0010-0000-0000-00000E000000}" name="Stock Maximo"/>
    <tableColumn id="15" xr3:uid="{00000000-0010-0000-0000-00000F000000}" name="Punto Reorden"/>
    <tableColumn id="16" xr3:uid="{00000000-0010-0000-0000-000010000000}" name="Ubicacion Predeterminada Id"/>
    <tableColumn id="17" xr3:uid="{00000000-0010-0000-0000-000011000000}" name="Ubicacion Predeterminada Id (lookup)">
      <calculatedColumnFormula>IFERROR(INDEX(tblUbicaciones[Nombre],MATCH(tblProductos[[#This Row],[Ubicacion Predeterminada Id]],tblUbicaciones[Id],0)),"")</calculatedColumnFormula>
    </tableColumn>
    <tableColumn id="18" xr3:uid="{00000000-0010-0000-0000-000012000000}" name="Proveedor Predeterminado Id"/>
    <tableColumn id="19" xr3:uid="{00000000-0010-0000-0000-000013000000}" name="Proveedor Predeterminado Id (lookup)">
      <calculatedColumnFormula>IFERROR(INDEX(tblProveedores[Nombre],MATCH(tblProductos[[#This Row],[Proveedor Predeterminado Id]],tblProveedores[Id],0)),"")</calculatedColumnFormula>
    </tableColumn>
    <tableColumn id="20" xr3:uid="{00000000-0010-0000-0000-000014000000}" name="Ancho"/>
    <tableColumn id="21" xr3:uid="{00000000-0010-0000-0000-000015000000}" name="Perfil"/>
    <tableColumn id="22" xr3:uid="{00000000-0010-0000-0000-000016000000}" name="Diametro"/>
    <tableColumn id="23" xr3:uid="{00000000-0010-0000-0000-000017000000}" name="Tipo Llanta"/>
    <tableColumn id="24" xr3:uid="{00000000-0010-0000-0000-000018000000}" name="Condicion"/>
    <tableColumn id="25" xr3:uid="{00000000-0010-0000-0000-000019000000}" name="Dot Number"/>
    <tableColumn id="26" xr3:uid="{00000000-0010-0000-0000-00001A000000}" name="Tread Depth Mm"/>
    <tableColumn id="27" xr3:uid="{00000000-0010-0000-0000-00001B000000}" name="Fitment"/>
    <tableColumn id="28" xr3:uid="{00000000-0010-0000-0000-00001C000000}" name="Viscosidad"/>
    <tableColumn id="29" xr3:uid="{00000000-0010-0000-0000-00001D000000}" name="Tipo Aceite"/>
    <tableColumn id="30" xr3:uid="{00000000-0010-0000-0000-00001E000000}" name="Volumen Litros"/>
    <tableColumn id="31" xr3:uid="{00000000-0010-0000-0000-00001F000000}" name="Aplicacion"/>
    <tableColumn id="32" xr3:uid="{00000000-0010-0000-0000-000020000000}" name="Lote Batch"/>
    <tableColumn id="33" xr3:uid="{00000000-0010-0000-0000-000021000000}" name="Fecha Caducidad"/>
    <tableColumn id="34" xr3:uid="{00000000-0010-0000-0000-000022000000}" name="Activo"/>
    <tableColumn id="35" xr3:uid="{00000000-0010-0000-0000-000023000000}" name="Notas"/>
    <tableColumn id="36" xr3:uid="{00000000-0010-0000-0000-000024000000}" name="Fecha Alt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StockPorUbicacion" displayName="tblStockPorUbicacion" ref="A1:G12" totalsRowShown="0">
  <autoFilter ref="A1:G12" xr:uid="{00000000-0009-0000-0100-000002000000}"/>
  <tableColumns count="7">
    <tableColumn id="1" xr3:uid="{00000000-0010-0000-0100-000001000000}" name="Id"/>
    <tableColumn id="2" xr3:uid="{00000000-0010-0000-0100-000002000000}" name="Cantidad"/>
    <tableColumn id="3" xr3:uid="{00000000-0010-0000-0100-000003000000}" name="Producto Id"/>
    <tableColumn id="4" xr3:uid="{00000000-0010-0000-0100-000004000000}" name="Producto Id (lookup)">
      <calculatedColumnFormula>IFERROR(INDEX(tblProductos[Nombre],MATCH(tblStockPorUbicacion[[#This Row],[Producto Id]],tblProductos[Id],0)),"")</calculatedColumnFormula>
    </tableColumn>
    <tableColumn id="5" xr3:uid="{00000000-0010-0000-0100-000005000000}" name="Ubicacion Id"/>
    <tableColumn id="6" xr3:uid="{00000000-0010-0000-0100-000006000000}" name="Ubicacion Id (lookup)">
      <calculatedColumnFormula>IFERROR(INDEX(tblUbicaciones[Nombre],MATCH(tblStockPorUbicacion[[#This Row],[Ubicacion Id]],tblUbicaciones[Id],0)),"")</calculatedColumnFormula>
    </tableColumn>
    <tableColumn id="7" xr3:uid="{00000000-0010-0000-0100-000007000000}" name="Updated A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Transacciones" displayName="tblTransacciones" ref="A1:Q12" totalsRowShown="0">
  <autoFilter ref="A1:Q12" xr:uid="{00000000-0009-0000-0100-000003000000}"/>
  <tableColumns count="17">
    <tableColumn id="1" xr3:uid="{00000000-0010-0000-0200-000001000000}" name="Id"/>
    <tableColumn id="2" xr3:uid="{00000000-0010-0000-0200-000002000000}" name="Cantidad"/>
    <tableColumn id="3" xr3:uid="{00000000-0010-0000-0200-000003000000}" name="Costo Unitario"/>
    <tableColumn id="4" xr3:uid="{00000000-0010-0000-0200-000004000000}" name="Created At"/>
    <tableColumn id="5" xr3:uid="{00000000-0010-0000-0200-000005000000}" name="Dot Number"/>
    <tableColumn id="6" xr3:uid="{00000000-0010-0000-0200-000006000000}" name="Fecha"/>
    <tableColumn id="7" xr3:uid="{00000000-0010-0000-0200-000007000000}" name="Lote Batch"/>
    <tableColumn id="8" xr3:uid="{00000000-0010-0000-0200-000008000000}" name="Notas"/>
    <tableColumn id="9" xr3:uid="{00000000-0010-0000-0200-000009000000}" name="Producto Id"/>
    <tableColumn id="10" xr3:uid="{00000000-0010-0000-0200-00000A000000}" name="Producto Id (lookup)">
      <calculatedColumnFormula>IFERROR(INDEX(tblProductos[Nombre],MATCH(tblTransacciones[[#This Row],[Producto Id]],tblProductos[Id],0)),"")</calculatedColumnFormula>
    </tableColumn>
    <tableColumn id="11" xr3:uid="{00000000-0010-0000-0200-00000B000000}" name="Referencia"/>
    <tableColumn id="12" xr3:uid="{00000000-0010-0000-0200-00000C000000}" name="Tipo Movimiento"/>
    <tableColumn id="13" xr3:uid="{00000000-0010-0000-0200-00000D000000}" name="Ubicacion Destino Id"/>
    <tableColumn id="14" xr3:uid="{00000000-0010-0000-0200-00000E000000}" name="Ubicacion Destino Id (lookup)">
      <calculatedColumnFormula>IFERROR(INDEX(tblUbicaciones[Nombre],MATCH(tblTransacciones[[#This Row],[Ubicacion Destino Id]],tblUbicaciones[Id],0)),"")</calculatedColumnFormula>
    </tableColumn>
    <tableColumn id="15" xr3:uid="{00000000-0010-0000-0200-00000F000000}" name="Ubicacion Id"/>
    <tableColumn id="16" xr3:uid="{00000000-0010-0000-0200-000010000000}" name="Ubicacion Id (lookup)">
      <calculatedColumnFormula>IFERROR(INDEX(tblUbicaciones[Nombre],MATCH(tblTransacciones[[#This Row],[Ubicacion Id]],tblUbicaciones[Id],0)),"")</calculatedColumnFormula>
    </tableColumn>
    <tableColumn id="17" xr3:uid="{00000000-0010-0000-0200-000011000000}" name="Usuari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OrdenesServicio" displayName="tblOrdenesServicio" ref="A1:Q6" totalsRowShown="0">
  <autoFilter ref="A1:Q6" xr:uid="{00000000-0009-0000-0100-000004000000}"/>
  <tableColumns count="17">
    <tableColumn id="1" xr3:uid="{00000000-0010-0000-0300-000001000000}" name="Id"/>
    <tableColumn id="2" xr3:uid="{00000000-0010-0000-0300-000002000000}" name="Cliente Id"/>
    <tableColumn id="3" xr3:uid="{00000000-0010-0000-0300-000003000000}" name="Cliente Id (lookup)">
      <calculatedColumnFormula>IFERROR(INDEX(tblClientes[Nombre Completo],MATCH(tblOrdenesServicio[[#This Row],[Cliente Id]],tblClientes[Id],0)),"")</calculatedColumnFormula>
    </tableColumn>
    <tableColumn id="4" xr3:uid="{00000000-0010-0000-0300-000004000000}" name="Created At"/>
    <tableColumn id="5" xr3:uid="{00000000-0010-0000-0300-000005000000}" name="Estado"/>
    <tableColumn id="6" xr3:uid="{00000000-0010-0000-0300-000006000000}" name="Fecha"/>
    <tableColumn id="7" xr3:uid="{00000000-0010-0000-0300-000007000000}" name="Folio"/>
    <tableColumn id="8" xr3:uid="{00000000-0010-0000-0300-000008000000}" name="Impuestos"/>
    <tableColumn id="9" xr3:uid="{00000000-0010-0000-0300-000009000000}" name="Kilometraje"/>
    <tableColumn id="10" xr3:uid="{00000000-0010-0000-0300-00000A000000}" name="Notas"/>
    <tableColumn id="11" xr3:uid="{00000000-0010-0000-0300-00000B000000}" name="Subtotal"/>
    <tableColumn id="12" xr3:uid="{00000000-0010-0000-0300-00000C000000}" name="Tecnico"/>
    <tableColumn id="13" xr3:uid="{00000000-0010-0000-0300-00000D000000}" name="Total"/>
    <tableColumn id="14" xr3:uid="{00000000-0010-0000-0300-00000E000000}" name="Trabajo Realizado"/>
    <tableColumn id="15" xr3:uid="{00000000-0010-0000-0300-00000F000000}" name="Updated At"/>
    <tableColumn id="16" xr3:uid="{00000000-0010-0000-0300-000010000000}" name="Vehiculo Id"/>
    <tableColumn id="17" xr3:uid="{00000000-0010-0000-0300-000011000000}" name="Vehiculo Id (lookup)">
      <calculatedColumnFormula>IFERROR(INDEX(tblVehiculos[Color],MATCH(tblOrdenesServicio[[#This Row],[Vehiculo Id]],tblVehiculos[Id],0)),"")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DetalleOrdenServicio" displayName="tblDetalleOrdenServicio" ref="A1:I6" totalsRowShown="0">
  <autoFilter ref="A1:I6" xr:uid="{00000000-0009-0000-0100-000005000000}"/>
  <tableColumns count="9">
    <tableColumn id="1" xr3:uid="{00000000-0010-0000-0400-000001000000}" name="Id"/>
    <tableColumn id="2" xr3:uid="{00000000-0010-0000-0400-000002000000}" name="Cantidad"/>
    <tableColumn id="3" xr3:uid="{00000000-0010-0000-0400-000003000000}" name="Notas"/>
    <tableColumn id="4" xr3:uid="{00000000-0010-0000-0400-000004000000}" name="Orden Servicio Id"/>
    <tableColumn id="5" xr3:uid="{00000000-0010-0000-0400-000005000000}" name="Orden Servicio Id (lookup)">
      <calculatedColumnFormula>IFERROR(INDEX(tblOrdenesServicio[Created At],MATCH(tblDetalleOrdenServicio[[#This Row],[Orden Servicio Id]],tblOrdenesServicio[Id],0)),"")</calculatedColumnFormula>
    </tableColumn>
    <tableColumn id="6" xr3:uid="{00000000-0010-0000-0400-000006000000}" name="Precio Unitario"/>
    <tableColumn id="7" xr3:uid="{00000000-0010-0000-0400-000007000000}" name="Producto Id"/>
    <tableColumn id="8" xr3:uid="{00000000-0010-0000-0400-000008000000}" name="Producto Id (lookup)">
      <calculatedColumnFormula>IFERROR(INDEX(tblProductos[Nombre],MATCH(tblDetalleOrdenServicio[[#This Row],[Producto Id]],tblProductos[Id],0)),"")</calculatedColumnFormula>
    </tableColumn>
    <tableColumn id="9" xr3:uid="{00000000-0010-0000-0400-000009000000}" name="Subtot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OrdenesCompra" displayName="tblOrdenesCompra" ref="A1:M3" totalsRowShown="0">
  <autoFilter ref="A1:M3" xr:uid="{00000000-0009-0000-0100-000006000000}"/>
  <tableColumns count="13">
    <tableColumn id="1" xr3:uid="{00000000-0010-0000-0500-000001000000}" name="Id"/>
    <tableColumn id="2" xr3:uid="{00000000-0010-0000-0500-000002000000}" name="Created At"/>
    <tableColumn id="3" xr3:uid="{00000000-0010-0000-0500-000003000000}" name="Estado"/>
    <tableColumn id="4" xr3:uid="{00000000-0010-0000-0500-000004000000}" name="Fecha"/>
    <tableColumn id="5" xr3:uid="{00000000-0010-0000-0500-000005000000}" name="Fecha Entrega Esperada"/>
    <tableColumn id="6" xr3:uid="{00000000-0010-0000-0500-000006000000}" name="Folio"/>
    <tableColumn id="7" xr3:uid="{00000000-0010-0000-0500-000007000000}" name="Impuestos"/>
    <tableColumn id="8" xr3:uid="{00000000-0010-0000-0500-000008000000}" name="Notas"/>
    <tableColumn id="9" xr3:uid="{00000000-0010-0000-0500-000009000000}" name="Proveedor Id"/>
    <tableColumn id="10" xr3:uid="{00000000-0010-0000-0500-00000A000000}" name="Proveedor Id (lookup)">
      <calculatedColumnFormula>IFERROR(INDEX(tblProveedores[Nombre],MATCH(tblOrdenesCompra[[#This Row],[Proveedor Id]],tblProveedores[Id],0)),"")</calculatedColumnFormula>
    </tableColumn>
    <tableColumn id="11" xr3:uid="{00000000-0010-0000-0500-00000B000000}" name="Subtotal"/>
    <tableColumn id="12" xr3:uid="{00000000-0010-0000-0500-00000C000000}" name="Total"/>
    <tableColumn id="13" xr3:uid="{00000000-0010-0000-0500-00000D000000}" name="Updated At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DetalleOrdenCompra" displayName="tblDetalleOrdenCompra" ref="A1:I6" totalsRowShown="0">
  <autoFilter ref="A1:I6" xr:uid="{00000000-0009-0000-0100-000007000000}"/>
  <tableColumns count="9">
    <tableColumn id="1" xr3:uid="{00000000-0010-0000-0600-000001000000}" name="Id"/>
    <tableColumn id="2" xr3:uid="{00000000-0010-0000-0600-000002000000}" name="Cantidad"/>
    <tableColumn id="3" xr3:uid="{00000000-0010-0000-0600-000003000000}" name="Cantidad Recibida"/>
    <tableColumn id="4" xr3:uid="{00000000-0010-0000-0600-000004000000}" name="Orden Compra Id"/>
    <tableColumn id="5" xr3:uid="{00000000-0010-0000-0600-000005000000}" name="Orden Compra Id (lookup)">
      <calculatedColumnFormula>IFERROR(INDEX(tblOrdenesCompra[Created At],MATCH(tblDetalleOrdenCompra[[#This Row],[Orden Compra Id]],tblOrdenesCompra[Id],0)),"")</calculatedColumnFormula>
    </tableColumn>
    <tableColumn id="6" xr3:uid="{00000000-0010-0000-0600-000006000000}" name="Precio Unitario"/>
    <tableColumn id="7" xr3:uid="{00000000-0010-0000-0600-000007000000}" name="Producto Id"/>
    <tableColumn id="8" xr3:uid="{00000000-0010-0000-0600-000008000000}" name="Producto Id (lookup)">
      <calculatedColumnFormula>IFERROR(INDEX(tblProductos[Nombre],MATCH(tblDetalleOrdenCompra[[#This Row],[Producto Id]],tblProductos[Id],0)),"")</calculatedColumnFormula>
    </tableColumn>
    <tableColumn id="9" xr3:uid="{00000000-0010-0000-0600-000009000000}" name="Subtota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ConteosFisicos" displayName="tblConteosFisicos" ref="A1:G2" totalsRowShown="0">
  <autoFilter ref="A1:G2" xr:uid="{00000000-0009-0000-0100-000008000000}"/>
  <tableColumns count="7">
    <tableColumn id="1" xr3:uid="{00000000-0010-0000-0700-000001000000}" name="Id"/>
    <tableColumn id="2" xr3:uid="{00000000-0010-0000-0700-000002000000}" name="Created At"/>
    <tableColumn id="3" xr3:uid="{00000000-0010-0000-0700-000003000000}" name="Estado"/>
    <tableColumn id="4" xr3:uid="{00000000-0010-0000-0700-000004000000}" name="Fecha"/>
    <tableColumn id="5" xr3:uid="{00000000-0010-0000-0700-000005000000}" name="Folio"/>
    <tableColumn id="6" xr3:uid="{00000000-0010-0000-0700-000006000000}" name="Notas"/>
    <tableColumn id="7" xr3:uid="{00000000-0010-0000-0700-000007000000}" name="Responsabl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DetalleConteoFisico" displayName="tblDetalleConteoFisico" ref="A1:K12" totalsRowShown="0">
  <autoFilter ref="A1:K12" xr:uid="{00000000-0009-0000-0100-000009000000}"/>
  <tableColumns count="11">
    <tableColumn id="1" xr3:uid="{00000000-0010-0000-0800-000001000000}" name="Id"/>
    <tableColumn id="2" xr3:uid="{00000000-0010-0000-0800-000002000000}" name="Cantidad Contada"/>
    <tableColumn id="3" xr3:uid="{00000000-0010-0000-0800-000003000000}" name="Conteo Id"/>
    <tableColumn id="4" xr3:uid="{00000000-0010-0000-0800-000004000000}" name="Conteo Id (lookup)">
      <calculatedColumnFormula>IFERROR(INDEX(tblConteosFisicos[Created At],MATCH(tblDetalleConteoFisico[[#This Row],[Conteo Id]],tblConteosFisicos[Id],0)),"")</calculatedColumnFormula>
    </tableColumn>
    <tableColumn id="5" xr3:uid="{00000000-0010-0000-0800-000005000000}" name="Diferencia"/>
    <tableColumn id="6" xr3:uid="{00000000-0010-0000-0800-000006000000}" name="Notas"/>
    <tableColumn id="7" xr3:uid="{00000000-0010-0000-0800-000007000000}" name="Producto Id"/>
    <tableColumn id="8" xr3:uid="{00000000-0010-0000-0800-000008000000}" name="Producto Id (lookup)">
      <calculatedColumnFormula>IFERROR(INDEX(tblProductos[Nombre],MATCH(tblDetalleConteoFisico[[#This Row],[Producto Id]],tblProductos[Id],0)),"")</calculatedColumnFormula>
    </tableColumn>
    <tableColumn id="9" xr3:uid="{00000000-0010-0000-0800-000009000000}" name="Stock Sistema"/>
    <tableColumn id="10" xr3:uid="{00000000-0010-0000-0800-00000A000000}" name="Ubicacion Id"/>
    <tableColumn id="11" xr3:uid="{00000000-0010-0000-0800-00000B000000}" name="Ubicacion Id (lookup)">
      <calculatedColumnFormula>IFERROR(INDEX(tblUbicaciones[Nombre],MATCH(tblDetalleConteoFisico[[#This Row],[Ubicacion Id]],tblUbicaciones[Id],0)),"")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Clientes" displayName="tblClientes" ref="A1:I4" totalsRowShown="0">
  <autoFilter ref="A1:I4" xr:uid="{00000000-0009-0000-0100-00000A000000}"/>
  <tableColumns count="9">
    <tableColumn id="1" xr3:uid="{00000000-0010-0000-0900-000001000000}" name="Id"/>
    <tableColumn id="2" xr3:uid="{00000000-0010-0000-0900-000002000000}" name="Activo"/>
    <tableColumn id="3" xr3:uid="{00000000-0010-0000-0900-000003000000}" name="Codigo"/>
    <tableColumn id="4" xr3:uid="{00000000-0010-0000-0900-000004000000}" name="Created At"/>
    <tableColumn id="5" xr3:uid="{00000000-0010-0000-0900-000005000000}" name="Direccion"/>
    <tableColumn id="6" xr3:uid="{00000000-0010-0000-0900-000006000000}" name="Email"/>
    <tableColumn id="7" xr3:uid="{00000000-0010-0000-0900-000007000000}" name="Nombre Completo"/>
    <tableColumn id="8" xr3:uid="{00000000-0010-0000-0900-000008000000}" name="Notas"/>
    <tableColumn id="9" xr3:uid="{00000000-0010-0000-0900-000009000000}" name="Telefono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Vehiculos" displayName="tblVehiculos" ref="A1:K6" totalsRowShown="0">
  <autoFilter ref="A1:K6" xr:uid="{00000000-0009-0000-0100-00000B000000}"/>
  <tableColumns count="11">
    <tableColumn id="1" xr3:uid="{00000000-0010-0000-0A00-000001000000}" name="Id"/>
    <tableColumn id="2" xr3:uid="{00000000-0010-0000-0A00-000002000000}" name="Anio"/>
    <tableColumn id="3" xr3:uid="{00000000-0010-0000-0A00-000003000000}" name="Cliente Id"/>
    <tableColumn id="4" xr3:uid="{00000000-0010-0000-0A00-000004000000}" name="Cliente Id (lookup)">
      <calculatedColumnFormula>IFERROR(INDEX(tblClientes[Nombre Completo],MATCH(tblVehiculos[[#This Row],[Cliente Id]],tblClientes[Id],0)),"")</calculatedColumnFormula>
    </tableColumn>
    <tableColumn id="5" xr3:uid="{00000000-0010-0000-0A00-000005000000}" name="Color"/>
    <tableColumn id="6" xr3:uid="{00000000-0010-0000-0A00-000006000000}" name="Created At"/>
    <tableColumn id="7" xr3:uid="{00000000-0010-0000-0A00-000007000000}" name="Marca"/>
    <tableColumn id="8" xr3:uid="{00000000-0010-0000-0A00-000008000000}" name="Modelo"/>
    <tableColumn id="9" xr3:uid="{00000000-0010-0000-0A00-000009000000}" name="Notas"/>
    <tableColumn id="10" xr3:uid="{00000000-0010-0000-0A00-00000A000000}" name="Placa"/>
    <tableColumn id="11" xr3:uid="{00000000-0010-0000-0A00-00000B000000}" name="Vin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blProveedores" displayName="tblProveedores" ref="A1:L5" totalsRowShown="0">
  <autoFilter ref="A1:L5" xr:uid="{00000000-0009-0000-0100-00000C000000}"/>
  <tableColumns count="12">
    <tableColumn id="1" xr3:uid="{00000000-0010-0000-0B00-000001000000}" name="Id"/>
    <tableColumn id="2" xr3:uid="{00000000-0010-0000-0B00-000002000000}" name="Activo"/>
    <tableColumn id="3" xr3:uid="{00000000-0010-0000-0B00-000003000000}" name="Codigo"/>
    <tableColumn id="4" xr3:uid="{00000000-0010-0000-0B00-000004000000}" name="Condiciones Pago"/>
    <tableColumn id="5" xr3:uid="{00000000-0010-0000-0B00-000005000000}" name="Contacto Email"/>
    <tableColumn id="6" xr3:uid="{00000000-0010-0000-0B00-000006000000}" name="Contacto Nombre"/>
    <tableColumn id="7" xr3:uid="{00000000-0010-0000-0B00-000007000000}" name="Contacto Telefono"/>
    <tableColumn id="8" xr3:uid="{00000000-0010-0000-0B00-000008000000}" name="Created At"/>
    <tableColumn id="9" xr3:uid="{00000000-0010-0000-0B00-000009000000}" name="Direccion"/>
    <tableColumn id="10" xr3:uid="{00000000-0010-0000-0B00-00000A000000}" name="Lead Time Dias"/>
    <tableColumn id="11" xr3:uid="{00000000-0010-0000-0B00-00000B000000}" name="Nombre"/>
    <tableColumn id="12" xr3:uid="{00000000-0010-0000-0B00-00000C000000}" name="Notas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blUbicaciones" displayName="tblUbicaciones" ref="A1:H8" totalsRowShown="0">
  <autoFilter ref="A1:H8" xr:uid="{00000000-0009-0000-0100-00000D000000}"/>
  <tableColumns count="8">
    <tableColumn id="1" xr3:uid="{00000000-0010-0000-0C00-000001000000}" name="Id"/>
    <tableColumn id="2" xr3:uid="{00000000-0010-0000-0C00-000002000000}" name="Activo"/>
    <tableColumn id="3" xr3:uid="{00000000-0010-0000-0C00-000003000000}" name="Capacidad"/>
    <tableColumn id="4" xr3:uid="{00000000-0010-0000-0C00-000004000000}" name="Codigo"/>
    <tableColumn id="5" xr3:uid="{00000000-0010-0000-0C00-000005000000}" name="Created At"/>
    <tableColumn id="6" xr3:uid="{00000000-0010-0000-0C00-000006000000}" name="Descripcion"/>
    <tableColumn id="7" xr3:uid="{00000000-0010-0000-0C00-000007000000}" name="Nombre"/>
    <tableColumn id="8" xr3:uid="{00000000-0010-0000-0C00-000008000000}" name="Tipo Ubicacion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blCategoriasProducto" displayName="tblCategoriasProducto" ref="A1:D5" totalsRowShown="0">
  <autoFilter ref="A1:D5" xr:uid="{00000000-0009-0000-0100-00000E000000}"/>
  <tableColumns count="4">
    <tableColumn id="1" xr3:uid="{00000000-0010-0000-0D00-000001000000}" name="Id"/>
    <tableColumn id="2" xr3:uid="{00000000-0010-0000-0D00-000002000000}" name="Activo"/>
    <tableColumn id="3" xr3:uid="{00000000-0010-0000-0D00-000003000000}" name="Descripcion"/>
    <tableColumn id="4" xr3:uid="{00000000-0010-0000-0D00-000004000000}" name="Nombr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blMarcas" displayName="tblMarcas" ref="A1:C9" totalsRowShown="0">
  <autoFilter ref="A1:C9" xr:uid="{00000000-0009-0000-0100-00000F000000}"/>
  <tableColumns count="3">
    <tableColumn id="1" xr3:uid="{00000000-0010-0000-0E00-000001000000}" name="Id"/>
    <tableColumn id="2" xr3:uid="{00000000-0010-0000-0E00-000002000000}" name="Activo"/>
    <tableColumn id="3" xr3:uid="{00000000-0010-0000-0E00-000003000000}" name="Nombr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blUnidades" displayName="tblUnidades" ref="A1:C7" totalsRowShown="0">
  <autoFilter ref="A1:C7" xr:uid="{00000000-0009-0000-0100-000010000000}"/>
  <tableColumns count="3">
    <tableColumn id="1" xr3:uid="{00000000-0010-0000-0F00-000001000000}" name="Id"/>
    <tableColumn id="2" xr3:uid="{00000000-0010-0000-0F00-000002000000}" name="Abreviatura"/>
    <tableColumn id="3" xr3:uid="{00000000-0010-0000-0F00-000003000000}" name="Nombr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tblRptStockCategoria" displayName="tblRptStockCategoria" ref="A1:H12" totalsRowShown="0">
  <autoFilter ref="A1:H12" xr:uid="{00000000-0009-0000-0100-000011000000}"/>
  <tableColumns count="8">
    <tableColumn id="1" xr3:uid="{00000000-0010-0000-1000-000001000000}" name="Categoria"/>
    <tableColumn id="2" xr3:uid="{00000000-0010-0000-1000-000002000000}" name="Producto"/>
    <tableColumn id="3" xr3:uid="{00000000-0010-0000-1000-000003000000}" name="Ubicacion"/>
    <tableColumn id="4" xr3:uid="{00000000-0010-0000-1000-000004000000}" name="Stock"/>
    <tableColumn id="5" xr3:uid="{00000000-0010-0000-1000-000005000000}" name="Costo unitario"/>
    <tableColumn id="6" xr3:uid="{00000000-0010-0000-1000-000006000000}" name="Valor costo"/>
    <tableColumn id="7" xr3:uid="{00000000-0010-0000-1000-000007000000}" name="Precio venta"/>
    <tableColumn id="8" xr3:uid="{00000000-0010-0000-1000-000008000000}" name="Valor venta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tblRptValorInventario" displayName="tblRptValorInventario" ref="A1:H12" totalsRowShown="0">
  <autoFilter ref="A1:H12" xr:uid="{00000000-0009-0000-0100-000012000000}"/>
  <tableColumns count="8">
    <tableColumn id="1" xr3:uid="{00000000-0010-0000-1100-000001000000}" name="Categoria"/>
    <tableColumn id="2" xr3:uid="{00000000-0010-0000-1100-000002000000}" name="Producto"/>
    <tableColumn id="3" xr3:uid="{00000000-0010-0000-1100-000003000000}" name="SKU"/>
    <tableColumn id="4" xr3:uid="{00000000-0010-0000-1100-000004000000}" name="Stock"/>
    <tableColumn id="5" xr3:uid="{00000000-0010-0000-1100-000005000000}" name="Costo unitario"/>
    <tableColumn id="6" xr3:uid="{00000000-0010-0000-1100-000006000000}" name="Valor costo"/>
    <tableColumn id="7" xr3:uid="{00000000-0010-0000-1100-000007000000}" name="Precio venta"/>
    <tableColumn id="8" xr3:uid="{00000000-0010-0000-1100-000008000000}" name="Valor venta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tblRptStockBajo" displayName="tblRptStockBajo" ref="A1:G2" totalsRowShown="0">
  <autoFilter ref="A1:G2" xr:uid="{00000000-0009-0000-0100-000013000000}"/>
  <tableColumns count="7">
    <tableColumn id="1" xr3:uid="{00000000-0010-0000-1200-000001000000}" name="Categoria"/>
    <tableColumn id="2" xr3:uid="{00000000-0010-0000-1200-000002000000}" name="Producto"/>
    <tableColumn id="3" xr3:uid="{00000000-0010-0000-1200-000003000000}" name="Stock"/>
    <tableColumn id="4" xr3:uid="{00000000-0010-0000-1200-000004000000}" name="Punto reorden"/>
    <tableColumn id="5" xr3:uid="{00000000-0010-0000-1200-000005000000}" name="Stock minimo"/>
    <tableColumn id="6" xr3:uid="{00000000-0010-0000-1200-000006000000}" name="Stock maximo"/>
    <tableColumn id="7" xr3:uid="{00000000-0010-0000-1200-000007000000}" name="Ubicacion pred.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tblRptMovimientos" displayName="tblRptMovimientos" ref="A1:K12" totalsRowShown="0">
  <autoFilter ref="A1:K12" xr:uid="{00000000-0009-0000-0100-000014000000}"/>
  <tableColumns count="11">
    <tableColumn id="1" xr3:uid="{00000000-0010-0000-1300-000001000000}" name="Fecha"/>
    <tableColumn id="2" xr3:uid="{00000000-0010-0000-1300-000002000000}" name="Tipo"/>
    <tableColumn id="3" xr3:uid="{00000000-0010-0000-1300-000003000000}" name="Producto"/>
    <tableColumn id="4" xr3:uid="{00000000-0010-0000-1300-000004000000}" name="Cantidad"/>
    <tableColumn id="5" xr3:uid="{00000000-0010-0000-1300-000005000000}" name="Ubicacion"/>
    <tableColumn id="6" xr3:uid="{00000000-0010-0000-1300-000006000000}" name="Destino"/>
    <tableColumn id="7" xr3:uid="{00000000-0010-0000-1300-000007000000}" name="Costo unitario"/>
    <tableColumn id="8" xr3:uid="{00000000-0010-0000-1300-000008000000}" name="Lote"/>
    <tableColumn id="9" xr3:uid="{00000000-0010-0000-1300-000009000000}" name="DOT"/>
    <tableColumn id="10" xr3:uid="{00000000-0010-0000-1300-00000A000000}" name="Referencia"/>
    <tableColumn id="11" xr3:uid="{00000000-0010-0000-1300-00000B000000}" name="Usuario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tblRptRotacion" displayName="tblRptRotacion" ref="A1:G12" totalsRowShown="0">
  <autoFilter ref="A1:G12" xr:uid="{00000000-0009-0000-0100-000015000000}"/>
  <tableColumns count="7">
    <tableColumn id="1" xr3:uid="{00000000-0010-0000-1400-000001000000}" name="Categoria"/>
    <tableColumn id="2" xr3:uid="{00000000-0010-0000-1400-000002000000}" name="Producto"/>
    <tableColumn id="3" xr3:uid="{00000000-0010-0000-1400-000003000000}" name="Stock"/>
    <tableColumn id="4" xr3:uid="{00000000-0010-0000-1400-000004000000}" name="Entradas"/>
    <tableColumn id="5" xr3:uid="{00000000-0010-0000-1400-000005000000}" name="Salidas"/>
    <tableColumn id="6" xr3:uid="{00000000-0010-0000-1400-000006000000}" name="Otros movs."/>
    <tableColumn id="7" xr3:uid="{00000000-0010-0000-1400-000007000000}" name="Sin movimiento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tblRptConteoFisico" displayName="tblRptConteoFisico" ref="A1:H12" totalsRowShown="0">
  <autoFilter ref="A1:H12" xr:uid="{00000000-0009-0000-0100-000016000000}"/>
  <tableColumns count="8">
    <tableColumn id="1" xr3:uid="{00000000-0010-0000-1500-000001000000}" name="Folio"/>
    <tableColumn id="2" xr3:uid="{00000000-0010-0000-1500-000002000000}" name="Fecha"/>
    <tableColumn id="3" xr3:uid="{00000000-0010-0000-1500-000003000000}" name="Producto"/>
    <tableColumn id="4" xr3:uid="{00000000-0010-0000-1500-000004000000}" name="Ubicacion"/>
    <tableColumn id="5" xr3:uid="{00000000-0010-0000-1500-000005000000}" name="Stock sistema"/>
    <tableColumn id="6" xr3:uid="{00000000-0010-0000-1500-000006000000}" name="Cantidad contada"/>
    <tableColumn id="7" xr3:uid="{00000000-0010-0000-1500-000007000000}" name="Diferencia"/>
    <tableColumn id="8" xr3:uid="{00000000-0010-0000-1500-000008000000}" name="Notas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tblRptAntiguedadCaducidad" displayName="tblRptAntiguedadCaducidad" ref="A1:F7" totalsRowShown="0">
  <autoFilter ref="A1:F7" xr:uid="{00000000-0009-0000-0100-000017000000}"/>
  <tableColumns count="6">
    <tableColumn id="1" xr3:uid="{00000000-0010-0000-1600-000001000000}" name="Categoria"/>
    <tableColumn id="2" xr3:uid="{00000000-0010-0000-1600-000002000000}" name="Producto"/>
    <tableColumn id="3" xr3:uid="{00000000-0010-0000-1600-000003000000}" name="Lote"/>
    <tableColumn id="4" xr3:uid="{00000000-0010-0000-1600-000004000000}" name="Fecha caducidad"/>
    <tableColumn id="5" xr3:uid="{00000000-0010-0000-1600-000005000000}" name="Dias a caducar"/>
    <tableColumn id="6" xr3:uid="{00000000-0010-0000-1600-000006000000}" name="Stock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7000000}" name="tblRptDot" displayName="tblRptDot" ref="A1:H3" totalsRowShown="0">
  <autoFilter ref="A1:H3" xr:uid="{00000000-0009-0000-0100-000018000000}"/>
  <tableColumns count="8">
    <tableColumn id="1" xr3:uid="{00000000-0010-0000-1700-000001000000}" name="Fecha"/>
    <tableColumn id="2" xr3:uid="{00000000-0010-0000-1700-000002000000}" name="Producto"/>
    <tableColumn id="3" xr3:uid="{00000000-0010-0000-1700-000003000000}" name="DOT"/>
    <tableColumn id="4" xr3:uid="{00000000-0010-0000-1700-000004000000}" name="Cantidad"/>
    <tableColumn id="5" xr3:uid="{00000000-0010-0000-1700-000005000000}" name="Ubicacion"/>
    <tableColumn id="6" xr3:uid="{00000000-0010-0000-1700-000006000000}" name="Referencia"/>
    <tableColumn id="7" xr3:uid="{00000000-0010-0000-1700-000007000000}" name="Usuario"/>
    <tableColumn id="8" xr3:uid="{00000000-0010-0000-1700-000008000000}" name="Nota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7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table" Target="../tables/table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7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table" Target="../tables/table3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7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table" Target="../tables/table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7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table" Target="../tables/table5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7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6" Type="http://schemas.openxmlformats.org/officeDocument/2006/relationships/table" Target="../tables/table6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7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6" Type="http://schemas.openxmlformats.org/officeDocument/2006/relationships/table" Target="../tables/table7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7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6" Type="http://schemas.openxmlformats.org/officeDocument/2006/relationships/table" Target="../tables/table8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7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table" Target="../tables/table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7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table" Target="../tables/table10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7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6" Type="http://schemas.openxmlformats.org/officeDocument/2006/relationships/table" Target="../tables/table11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7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Relationship Id="rId6" Type="http://schemas.openxmlformats.org/officeDocument/2006/relationships/table" Target="../tables/table12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7" Type="http://schemas.openxmlformats.org/officeDocument/2006/relationships/comments" Target="../comments1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Relationship Id="rId6" Type="http://schemas.openxmlformats.org/officeDocument/2006/relationships/table" Target="../tables/table13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1.xml"/><Relationship Id="rId7" Type="http://schemas.openxmlformats.org/officeDocument/2006/relationships/comments" Target="../comments1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Relationship Id="rId6" Type="http://schemas.openxmlformats.org/officeDocument/2006/relationships/table" Target="../tables/table14.xml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.xml"/><Relationship Id="rId7" Type="http://schemas.openxmlformats.org/officeDocument/2006/relationships/comments" Target="../comments1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7.xml"/><Relationship Id="rId6" Type="http://schemas.openxmlformats.org/officeDocument/2006/relationships/table" Target="../tables/table15.xml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7" Type="http://schemas.openxmlformats.org/officeDocument/2006/relationships/comments" Target="../comments16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8.xml"/><Relationship Id="rId6" Type="http://schemas.openxmlformats.org/officeDocument/2006/relationships/table" Target="../tables/table16.xml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4F46E5"/>
    <pageSetUpPr fitToPage="1"/>
  </sheetPr>
  <dimension ref="B1:I31"/>
  <sheetViews>
    <sheetView showGridLines="0" tabSelected="1" zoomScale="90" zoomScaleNormal="90" workbookViewId="0"/>
  </sheetViews>
  <sheetFormatPr baseColWidth="10" defaultColWidth="8.83203125" defaultRowHeight="15" x14ac:dyDescent="0.2"/>
  <cols>
    <col min="1" max="1" width="3" customWidth="1"/>
    <col min="2" max="2" width="28" customWidth="1"/>
    <col min="3" max="3" width="16" customWidth="1"/>
    <col min="4" max="4" width="4" customWidth="1"/>
    <col min="5" max="5" width="28" customWidth="1"/>
    <col min="6" max="6" width="16" customWidth="1"/>
    <col min="7" max="7" width="4" customWidth="1"/>
    <col min="8" max="8" width="28" customWidth="1"/>
    <col min="9" max="9" width="16" customWidth="1"/>
  </cols>
  <sheetData>
    <row r="1" spans="2:9" ht="8" customHeight="1" x14ac:dyDescent="0.2"/>
    <row r="2" spans="2:9" ht="26" customHeight="1" x14ac:dyDescent="0.25">
      <c r="B2" s="2" t="s">
        <v>0</v>
      </c>
    </row>
    <row r="3" spans="2:9" x14ac:dyDescent="0.2">
      <c r="B3" s="7" t="s">
        <v>1</v>
      </c>
    </row>
    <row r="5" spans="2:9" x14ac:dyDescent="0.2">
      <c r="B5" s="12" t="s">
        <v>2</v>
      </c>
    </row>
    <row r="6" spans="2:9" ht="24" customHeight="1" x14ac:dyDescent="0.2">
      <c r="B6" s="13" t="s">
        <v>3</v>
      </c>
      <c r="E6" s="13" t="s">
        <v>4</v>
      </c>
      <c r="H6" s="13" t="s">
        <v>5</v>
      </c>
    </row>
    <row r="7" spans="2:9" ht="28" customHeight="1" x14ac:dyDescent="0.2">
      <c r="B7" s="14">
        <f>IFERROR(COUNTA(tblProductos[Id]),0)</f>
        <v>11</v>
      </c>
      <c r="C7" s="7" t="s">
        <v>6</v>
      </c>
      <c r="E7" s="14">
        <f>IFERROR(COUNTA(tblStockPorUbicacion[Id]),0)</f>
        <v>11</v>
      </c>
      <c r="F7" s="7" t="s">
        <v>6</v>
      </c>
      <c r="H7" s="14">
        <f>IFERROR(COUNTA(tblTransacciones[Id]),0)</f>
        <v>11</v>
      </c>
      <c r="I7" s="7" t="s">
        <v>6</v>
      </c>
    </row>
    <row r="9" spans="2:9" ht="24" customHeight="1" x14ac:dyDescent="0.2">
      <c r="B9" s="13" t="s">
        <v>7</v>
      </c>
      <c r="E9" s="13" t="s">
        <v>8</v>
      </c>
      <c r="H9" s="13" t="s">
        <v>9</v>
      </c>
    </row>
    <row r="10" spans="2:9" ht="28" customHeight="1" x14ac:dyDescent="0.2">
      <c r="B10" s="14">
        <f>IFERROR(COUNTA(tblOrdenesServicio[Id]),0)</f>
        <v>5</v>
      </c>
      <c r="C10" s="7" t="s">
        <v>6</v>
      </c>
      <c r="E10" s="14">
        <f>IFERROR(COUNTA(tblDetalleOrdenServicio[Id]),0)</f>
        <v>5</v>
      </c>
      <c r="F10" s="7" t="s">
        <v>6</v>
      </c>
      <c r="H10" s="14">
        <f>IFERROR(COUNTA(tblOrdenesCompra[Id]),0)</f>
        <v>2</v>
      </c>
      <c r="I10" s="7" t="s">
        <v>6</v>
      </c>
    </row>
    <row r="12" spans="2:9" ht="24" customHeight="1" x14ac:dyDescent="0.2">
      <c r="B12" s="13" t="s">
        <v>10</v>
      </c>
      <c r="E12" s="13" t="s">
        <v>11</v>
      </c>
      <c r="H12" s="13" t="s">
        <v>12</v>
      </c>
    </row>
    <row r="13" spans="2:9" ht="28" customHeight="1" x14ac:dyDescent="0.2">
      <c r="B13" s="14">
        <f>IFERROR(COUNTA(tblDetalleOrdenCompra[Id]),0)</f>
        <v>5</v>
      </c>
      <c r="C13" s="7" t="s">
        <v>6</v>
      </c>
      <c r="E13" s="14">
        <f>IFERROR(COUNTA(tblConteosFisicos[Id]),0)</f>
        <v>1</v>
      </c>
      <c r="F13" s="7" t="s">
        <v>6</v>
      </c>
      <c r="H13" s="14">
        <f>IFERROR(COUNTA(tblDetalleConteoFisico[Id]),0)</f>
        <v>11</v>
      </c>
      <c r="I13" s="7" t="s">
        <v>6</v>
      </c>
    </row>
    <row r="15" spans="2:9" ht="24" customHeight="1" x14ac:dyDescent="0.2">
      <c r="B15" s="13" t="s">
        <v>13</v>
      </c>
      <c r="E15" s="13" t="s">
        <v>14</v>
      </c>
      <c r="H15" s="13" t="s">
        <v>15</v>
      </c>
    </row>
    <row r="16" spans="2:9" ht="28" customHeight="1" x14ac:dyDescent="0.2">
      <c r="B16" s="14">
        <f>IFERROR(COUNTA(tblClientes[Id]),0)</f>
        <v>3</v>
      </c>
      <c r="C16" s="7" t="s">
        <v>6</v>
      </c>
      <c r="E16" s="14">
        <f>IFERROR(COUNTA(tblVehiculos[Id]),0)</f>
        <v>5</v>
      </c>
      <c r="F16" s="7" t="s">
        <v>6</v>
      </c>
      <c r="H16" s="14">
        <f>IFERROR(COUNTA(tblProveedores[Id]),0)</f>
        <v>4</v>
      </c>
      <c r="I16" s="7" t="s">
        <v>6</v>
      </c>
    </row>
    <row r="18" spans="2:9" ht="24" customHeight="1" x14ac:dyDescent="0.2">
      <c r="B18" s="13" t="s">
        <v>16</v>
      </c>
      <c r="E18" s="13" t="s">
        <v>17</v>
      </c>
      <c r="H18" s="13" t="s">
        <v>18</v>
      </c>
    </row>
    <row r="19" spans="2:9" ht="28" customHeight="1" x14ac:dyDescent="0.2">
      <c r="B19" s="14">
        <f>IFERROR(COUNTA(tblUbicaciones[Id]),0)</f>
        <v>7</v>
      </c>
      <c r="C19" s="7" t="s">
        <v>6</v>
      </c>
      <c r="E19" s="14">
        <f>IFERROR(COUNTA(tblCategoriasProducto[Id]),0)</f>
        <v>4</v>
      </c>
      <c r="F19" s="7" t="s">
        <v>6</v>
      </c>
      <c r="H19" s="14">
        <f>IFERROR(COUNTA(tblMarcas[Id]),0)</f>
        <v>8</v>
      </c>
      <c r="I19" s="7" t="s">
        <v>6</v>
      </c>
    </row>
    <row r="21" spans="2:9" ht="24" customHeight="1" x14ac:dyDescent="0.2">
      <c r="B21" s="13" t="s">
        <v>19</v>
      </c>
    </row>
    <row r="22" spans="2:9" ht="28" customHeight="1" x14ac:dyDescent="0.2">
      <c r="B22" s="14">
        <f>IFERROR(COUNTA(tblUnidades[Id]),0)</f>
        <v>6</v>
      </c>
      <c r="C22" s="7" t="s">
        <v>6</v>
      </c>
    </row>
    <row r="24" spans="2:9" x14ac:dyDescent="0.2">
      <c r="B24" s="12" t="s">
        <v>20</v>
      </c>
    </row>
    <row r="25" spans="2:9" ht="24" customHeight="1" x14ac:dyDescent="0.2">
      <c r="B25" s="13" t="s">
        <v>21</v>
      </c>
      <c r="E25" s="13" t="s">
        <v>22</v>
      </c>
      <c r="H25" s="13" t="s">
        <v>23</v>
      </c>
    </row>
    <row r="26" spans="2:9" ht="24" customHeight="1" x14ac:dyDescent="0.2">
      <c r="B26" s="13" t="s">
        <v>24</v>
      </c>
      <c r="E26" s="13" t="s">
        <v>25</v>
      </c>
      <c r="H26" s="13" t="s">
        <v>26</v>
      </c>
    </row>
    <row r="27" spans="2:9" ht="24" customHeight="1" x14ac:dyDescent="0.2">
      <c r="B27" s="13" t="s">
        <v>27</v>
      </c>
      <c r="E27" s="13" t="s">
        <v>28</v>
      </c>
      <c r="H27" s="13" t="s">
        <v>29</v>
      </c>
    </row>
    <row r="28" spans="2:9" ht="24" customHeight="1" x14ac:dyDescent="0.2">
      <c r="B28" s="13" t="s">
        <v>30</v>
      </c>
      <c r="E28" s="13" t="s">
        <v>31</v>
      </c>
      <c r="H28" s="13" t="s">
        <v>32</v>
      </c>
    </row>
    <row r="29" spans="2:9" ht="24" customHeight="1" x14ac:dyDescent="0.2">
      <c r="B29" s="13" t="s">
        <v>33</v>
      </c>
      <c r="E29" s="13" t="s">
        <v>34</v>
      </c>
    </row>
    <row r="31" spans="2:9" x14ac:dyDescent="0.2">
      <c r="B31" s="7" t="s">
        <v>35</v>
      </c>
    </row>
  </sheetData>
  <hyperlinks>
    <hyperlink ref="B6" location="Productos!A1" tooltip="Open the Productos table" display="Productos" xr:uid="{00000000-0004-0000-0000-000000000000}"/>
    <hyperlink ref="E6" location="'Stock por ubicacion'!A1" tooltip="Open the Stock por ubicacion table" display="Stock por ubicacion" xr:uid="{00000000-0004-0000-0000-000001000000}"/>
    <hyperlink ref="H6" location="Transacciones!A1" tooltip="Open the Transacciones table" display="Transacciones" xr:uid="{00000000-0004-0000-0000-000002000000}"/>
    <hyperlink ref="B9" location="'Ordenes de servicio'!A1" tooltip="Open the Ordenes de servicio table" display="Ordenes de servicio" xr:uid="{00000000-0004-0000-0000-000003000000}"/>
    <hyperlink ref="E9" location="'Detalle de orden de servicio'!A1" tooltip="Open the Detalle de orden de servicio table" display="Detalle de orden de servicio" xr:uid="{00000000-0004-0000-0000-000004000000}"/>
    <hyperlink ref="H9" location="'Ordenes de compra'!A1" tooltip="Open the Ordenes de compra table" display="Ordenes de compra" xr:uid="{00000000-0004-0000-0000-000005000000}"/>
    <hyperlink ref="B12" location="'Detalle de orden de compra'!A1" tooltip="Open the Detalle de orden de compra table" display="Detalle de orden de compra" xr:uid="{00000000-0004-0000-0000-000006000000}"/>
    <hyperlink ref="E12" location="'Conteos fisicos'!A1" tooltip="Open the Conteos fisicos table" display="Conteos fisicos" xr:uid="{00000000-0004-0000-0000-000007000000}"/>
    <hyperlink ref="H12" location="'Detalle de conteo fisico'!A1" tooltip="Open the Detalle de conteo fisico table" display="Detalle de conteo fisico" xr:uid="{00000000-0004-0000-0000-000008000000}"/>
    <hyperlink ref="B15" location="Clientes!A1" tooltip="Open the Clientes table" display="Clientes" xr:uid="{00000000-0004-0000-0000-000009000000}"/>
    <hyperlink ref="E15" location="Vehiculos!A1" tooltip="Open the Vehiculos table" display="Vehiculos" xr:uid="{00000000-0004-0000-0000-00000A000000}"/>
    <hyperlink ref="H15" location="Proveedores!A1" tooltip="Open the Proveedores table" display="Proveedores" xr:uid="{00000000-0004-0000-0000-00000B000000}"/>
    <hyperlink ref="B18" location="Ubicaciones!A1" tooltip="Open the Ubicaciones table" display="Ubicaciones" xr:uid="{00000000-0004-0000-0000-00000C000000}"/>
    <hyperlink ref="E18" location="'Categorias de producto'!A1" tooltip="Open the Categorias de producto table" display="Categorias de producto" xr:uid="{00000000-0004-0000-0000-00000D000000}"/>
    <hyperlink ref="H18" location="Marcas!A1" tooltip="Open the Marcas table" display="Marcas" xr:uid="{00000000-0004-0000-0000-00000E000000}"/>
    <hyperlink ref="B21" location="Unidades!A1" tooltip="Open the Unidades table" display="Unidades" xr:uid="{00000000-0004-0000-0000-00000F000000}"/>
    <hyperlink ref="B25" location="Dashboard!A1" display="Dashboard" xr:uid="{00000000-0004-0000-0000-000010000000}"/>
    <hyperlink ref="E25" location="Rpt_Stock_Categoria!A1" display="Rpt_Stock_Categoria" xr:uid="{00000000-0004-0000-0000-000011000000}"/>
    <hyperlink ref="H25" location="Rpt_Valor_Inventario!A1" display="Rpt_Valor_Inventario" xr:uid="{00000000-0004-0000-0000-000012000000}"/>
    <hyperlink ref="B26" location="Rpt_Stock_Bajo!A1" display="Rpt_Stock_Bajo" xr:uid="{00000000-0004-0000-0000-000013000000}"/>
    <hyperlink ref="E26" location="Rpt_Movimientos!A1" display="Rpt_Movimientos" xr:uid="{00000000-0004-0000-0000-000014000000}"/>
    <hyperlink ref="H26" location="Rpt_Rotacion!A1" display="Rpt_Rotacion" xr:uid="{00000000-0004-0000-0000-000015000000}"/>
    <hyperlink ref="B27" location="Rpt_Conteo_Fisico!A1" display="Rpt_Conteo_Fisico" xr:uid="{00000000-0004-0000-0000-000016000000}"/>
    <hyperlink ref="E27" location="Rpt_Antiguedad_Caducidad!A1" display="Rpt_Antiguedad_Caducidad" xr:uid="{00000000-0004-0000-0000-000017000000}"/>
    <hyperlink ref="H27" location="Rpt_DOT!A1" display="Rpt_DOT" xr:uid="{00000000-0004-0000-0000-000018000000}"/>
    <hyperlink ref="B28" location="Ana_Movimientos!A1" display="Ana_Movimientos" xr:uid="{00000000-0004-0000-0000-000019000000}"/>
    <hyperlink ref="E28" location="Ana_Inventario!A1" display="Ana_Inventario" xr:uid="{00000000-0004-0000-0000-00001A000000}"/>
    <hyperlink ref="H28" location="Ana_Compras!A1" display="Ana_Compras" xr:uid="{00000000-0004-0000-0000-00001B000000}"/>
    <hyperlink ref="B29" location="Ana_Servicios!A1" display="Ana_Servicios" xr:uid="{00000000-0004-0000-0000-00001C000000}"/>
    <hyperlink ref="E29" location="Help!A1" display="Help" xr:uid="{00000000-0004-0000-0000-00001D000000}"/>
  </hyperlinks>
  <printOptions horizontalCentered="1"/>
  <pageMargins left="0.35" right="0.35" top="0.6" bottom="0.6" header="0.25" footer="0.25"/>
  <pageSetup paperSize="9" fitToHeight="0" orientation="landscape"/>
  <headerFooter>
    <oddFooter>&amp;LLlantera Aceites Inventario&amp;RPage &amp;P of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sfBtnShowCrudPanel">
              <controlPr defaultSize="0" print="0" autoFill="0" autoPict="0" macro="[0]!modEngine.ShowCrudPanel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7</xdr:col>
                    <xdr:colOff>1219200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2563EB"/>
    <pageSetUpPr fitToPage="1"/>
  </sheetPr>
  <dimension ref="B1:O42"/>
  <sheetViews>
    <sheetView showGridLines="0" zoomScale="90" zoomScaleNormal="90" workbookViewId="0"/>
  </sheetViews>
  <sheetFormatPr baseColWidth="10" defaultColWidth="8.83203125" defaultRowHeight="15" x14ac:dyDescent="0.2"/>
  <cols>
    <col min="1" max="1" width="3" customWidth="1"/>
    <col min="2" max="2" width="22" customWidth="1"/>
    <col min="3" max="3" width="2" customWidth="1"/>
    <col min="4" max="4" width="22" customWidth="1"/>
    <col min="5" max="5" width="2" customWidth="1"/>
    <col min="6" max="6" width="22" customWidth="1"/>
    <col min="7" max="7" width="2" customWidth="1"/>
    <col min="8" max="8" width="22" customWidth="1"/>
    <col min="9" max="9" width="2" customWidth="1"/>
    <col min="10" max="10" width="3" customWidth="1"/>
    <col min="11" max="11" width="24" customWidth="1"/>
    <col min="12" max="12" width="14" customWidth="1"/>
    <col min="13" max="13" width="3" customWidth="1"/>
    <col min="14" max="14" width="24" customWidth="1"/>
    <col min="15" max="15" width="14" customWidth="1"/>
  </cols>
  <sheetData>
    <row r="1" spans="2:15" ht="8" customHeight="1" x14ac:dyDescent="0.2"/>
    <row r="2" spans="2:15" ht="30" customHeight="1" x14ac:dyDescent="0.35">
      <c r="B2" s="15" t="s">
        <v>36</v>
      </c>
    </row>
    <row r="3" spans="2:15" x14ac:dyDescent="0.2">
      <c r="B3" s="7" t="s">
        <v>37</v>
      </c>
    </row>
    <row r="5" spans="2:15" x14ac:dyDescent="0.2">
      <c r="B5" s="9" t="s">
        <v>38</v>
      </c>
      <c r="D5" s="9" t="s">
        <v>39</v>
      </c>
      <c r="F5" s="9" t="s">
        <v>40</v>
      </c>
      <c r="H5" s="9" t="s">
        <v>41</v>
      </c>
    </row>
    <row r="6" spans="2:15" ht="34" customHeight="1" x14ac:dyDescent="0.2">
      <c r="B6" s="8">
        <f>IFERROR(SUMPRODUCT(tblStockPorUbicacion[Cantidad],SUMIF(tblProductos[Id],tblStockPorUbicacion[Producto Id],tblProductos[Precio Costo])),0)</f>
        <v>170500</v>
      </c>
      <c r="D6" s="8">
        <f>IFERROR(SUMPRODUCT(tblStockPorUbicacion[Cantidad],SUMIF(tblProductos[Id],tblStockPorUbicacion[Producto Id],tblProductos[Precio Venta])),0)</f>
        <v>234540</v>
      </c>
      <c r="F6" s="8">
        <f>IFERROR(COUNTIFS(tblProductos[Activo],"Si"),0)</f>
        <v>11</v>
      </c>
      <c r="H6" s="8">
        <f>IFERROR(SUMPRODUCT(--(SUMIF(tblStockPorUbicacion[Producto Id],tblProductos[Id],tblStockPorUbicacion[Cantidad])&lt;=tblProductos[Punto Reorden]),--(tblProductos[Activo]="Si")),0)</f>
        <v>0</v>
      </c>
    </row>
    <row r="8" spans="2:15" x14ac:dyDescent="0.2">
      <c r="B8" s="9" t="s">
        <v>42</v>
      </c>
      <c r="D8" s="9" t="s">
        <v>43</v>
      </c>
      <c r="F8" s="9" t="s">
        <v>44</v>
      </c>
      <c r="H8" s="9" t="s">
        <v>45</v>
      </c>
    </row>
    <row r="9" spans="2:15" ht="34" customHeight="1" x14ac:dyDescent="0.2">
      <c r="B9" s="8">
        <f>IFERROR(SUM(tblStockPorUbicacion[Cantidad]),0)</f>
        <v>219</v>
      </c>
      <c r="D9" s="8">
        <f ca="1">IFERROR(COUNTIFS(tblTransacciones[Fecha],"&gt;="&amp;EOMONTH(TODAY(),-1)+1,tblTransacciones[Fecha],"&lt;="&amp;EOMONTH(TODAY(),0)),0)</f>
        <v>11</v>
      </c>
      <c r="F9" s="8">
        <f ca="1">IFERROR(COUNTIFS(tblTransacciones[Tipo Movimiento],"Salida",tblTransacciones[Fecha],"&gt;="&amp;EOMONTH(TODAY(),-1)+1,tblTransacciones[Fecha],"&lt;="&amp;EOMONTH(TODAY(),0)),0)</f>
        <v>5</v>
      </c>
      <c r="H9" s="8">
        <f ca="1">IFERROR(COUNTIFS(tblProductos[Fecha Caducidad],"&gt;="&amp;TODAY(),tblProductos[Fecha Caducidad],"&lt;="&amp;TODAY()+30),0)</f>
        <v>0</v>
      </c>
    </row>
    <row r="11" spans="2:15" x14ac:dyDescent="0.2">
      <c r="B11" s="9" t="s">
        <v>46</v>
      </c>
    </row>
    <row r="12" spans="2:15" ht="34" customHeight="1" x14ac:dyDescent="0.2">
      <c r="B12" s="8">
        <f>IFERROR(COUNTIFS(tblTransacciones[Tipo Movimiento],"Salida",tblTransacciones[Dot Number],"&lt;&gt;"),0)</f>
        <v>2</v>
      </c>
    </row>
    <row r="15" spans="2:15" x14ac:dyDescent="0.2">
      <c r="K15" s="12" t="s">
        <v>47</v>
      </c>
      <c r="L15" s="12" t="s">
        <v>48</v>
      </c>
      <c r="N15" s="12" t="s">
        <v>49</v>
      </c>
      <c r="O15" s="12" t="s">
        <v>48</v>
      </c>
    </row>
    <row r="16" spans="2:15" x14ac:dyDescent="0.2">
      <c r="K16" s="7" t="s">
        <v>50</v>
      </c>
      <c r="L16" s="4">
        <f>IFERROR(SUMPRODUCT(--(SUMIF(tblProductos[Id],tblStockPorUbicacion[Producto Id],tblProductos[Categoria Id])=1),tblStockPorUbicacion[Cantidad]),0)</f>
        <v>40</v>
      </c>
      <c r="N16" s="7" t="s">
        <v>50</v>
      </c>
      <c r="O16" s="4">
        <f>IFERROR(SUMPRODUCT(--(SUMIF(tblProductos[Id],tblStockPorUbicacion[Producto Id],tblProductos[Categoria Id])=1),tblStockPorUbicacion[Cantidad],SUMIF(tblProductos[Id],tblStockPorUbicacion[Producto Id],tblProductos[Precio Costo])),0)</f>
        <v>91300</v>
      </c>
    </row>
    <row r="17" spans="11:15" x14ac:dyDescent="0.2">
      <c r="K17" s="7" t="s">
        <v>51</v>
      </c>
      <c r="L17" s="4">
        <f>IFERROR(SUMPRODUCT(--(SUMIF(tblProductos[Id],tblStockPorUbicacion[Producto Id],tblProductos[Categoria Id])=2),tblStockPorUbicacion[Cantidad]),0)</f>
        <v>129</v>
      </c>
      <c r="N17" s="7" t="s">
        <v>51</v>
      </c>
      <c r="O17" s="4">
        <f>IFERROR(SUMPRODUCT(--(SUMIF(tblProductos[Id],tblStockPorUbicacion[Producto Id],tblProductos[Categoria Id])=2),tblStockPorUbicacion[Cantidad],SUMIF(tblProductos[Id],tblStockPorUbicacion[Producto Id],tblProductos[Precio Costo])),0)</f>
        <v>74450</v>
      </c>
    </row>
    <row r="18" spans="11:15" x14ac:dyDescent="0.2">
      <c r="K18" s="7" t="s">
        <v>52</v>
      </c>
      <c r="L18" s="4">
        <f>IFERROR(SUMPRODUCT(--(SUMIF(tblProductos[Id],tblStockPorUbicacion[Producto Id],tblProductos[Categoria Id])=3),tblStockPorUbicacion[Cantidad]),0)</f>
        <v>50</v>
      </c>
      <c r="N18" s="7" t="s">
        <v>52</v>
      </c>
      <c r="O18" s="4">
        <f>IFERROR(SUMPRODUCT(--(SUMIF(tblProductos[Id],tblStockPorUbicacion[Producto Id],tblProductos[Categoria Id])=3),tblStockPorUbicacion[Cantidad],SUMIF(tblProductos[Id],tblStockPorUbicacion[Producto Id],tblProductos[Precio Costo])),0)</f>
        <v>4750</v>
      </c>
    </row>
    <row r="19" spans="11:15" x14ac:dyDescent="0.2">
      <c r="K19" s="7" t="s">
        <v>53</v>
      </c>
      <c r="L19" s="4">
        <f>IFERROR(SUMPRODUCT(--(SUMIF(tblProductos[Id],tblStockPorUbicacion[Producto Id],tblProductos[Categoria Id])=4),tblStockPorUbicacion[Cantidad]),0)</f>
        <v>0</v>
      </c>
      <c r="N19" s="7" t="s">
        <v>53</v>
      </c>
      <c r="O19" s="4">
        <f>IFERROR(SUMPRODUCT(--(SUMIF(tblProductos[Id],tblStockPorUbicacion[Producto Id],tblProductos[Categoria Id])=4),tblStockPorUbicacion[Cantidad],SUMIF(tblProductos[Id],tblStockPorUbicacion[Producto Id],tblProductos[Precio Costo])),0)</f>
        <v>0</v>
      </c>
    </row>
    <row r="30" spans="11:15" x14ac:dyDescent="0.2">
      <c r="K30" s="12" t="s">
        <v>54</v>
      </c>
      <c r="L30" s="12" t="s">
        <v>48</v>
      </c>
      <c r="N30" s="12" t="s">
        <v>55</v>
      </c>
      <c r="O30" s="12" t="s">
        <v>48</v>
      </c>
    </row>
    <row r="31" spans="11:15" x14ac:dyDescent="0.2">
      <c r="K31" s="7" t="s">
        <v>56</v>
      </c>
      <c r="L31" s="4">
        <f>IFERROR(SUMIFS(tblTransacciones[Cantidad],tblTransacciones[Tipo Movimiento],"Salida",tblTransacciones[Producto Id],2),0)</f>
        <v>4</v>
      </c>
      <c r="N31" s="7" t="s">
        <v>57</v>
      </c>
      <c r="O31" s="4">
        <f>IFERROR(SUMPRODUCT(--(SUMIF(tblStockPorUbicacion[Producto Id],tblProductos[Id],tblStockPorUbicacion[Cantidad])&lt;=tblProductos[Punto Reorden]),--(tblProductos[Activo]="Si")),0)</f>
        <v>0</v>
      </c>
    </row>
    <row r="32" spans="11:15" x14ac:dyDescent="0.2">
      <c r="K32" s="7" t="s">
        <v>58</v>
      </c>
      <c r="L32" s="4">
        <f>IFERROR(SUMIFS(tblTransacciones[Cantidad],tblTransacciones[Tipo Movimiento],"Salida",tblTransacciones[Producto Id],11),0)</f>
        <v>4</v>
      </c>
      <c r="N32" s="7" t="s">
        <v>45</v>
      </c>
      <c r="O32" s="4">
        <f ca="1">IFERROR(COUNTIFS(tblProductos[Fecha Caducidad],"&gt;="&amp;TODAY(),tblProductos[Fecha Caducidad],"&lt;="&amp;TODAY()+30),0)</f>
        <v>0</v>
      </c>
    </row>
    <row r="33" spans="2:15" x14ac:dyDescent="0.2">
      <c r="K33" s="7" t="s">
        <v>59</v>
      </c>
      <c r="L33" s="4">
        <f>IFERROR(SUMIFS(tblTransacciones[Cantidad],tblTransacciones[Tipo Movimiento],"Salida",tblTransacciones[Producto Id],1),0)</f>
        <v>2</v>
      </c>
      <c r="N33" s="7" t="s">
        <v>60</v>
      </c>
      <c r="O33" s="4">
        <f>IFERROR(SUMPRODUCT(--(COUNTIF(tblTransacciones[Producto Id],tblProductos[Id])=0),--(tblProductos[Activo]="Si")),0)</f>
        <v>3</v>
      </c>
    </row>
    <row r="34" spans="2:15" x14ac:dyDescent="0.2">
      <c r="K34" s="7" t="s">
        <v>61</v>
      </c>
      <c r="L34" s="4">
        <f>IFERROR(SUMIFS(tblTransacciones[Cantidad],tblTransacciones[Tipo Movimiento],"Salida",tblTransacciones[Producto Id],9),0)</f>
        <v>2</v>
      </c>
      <c r="N34" s="7" t="s">
        <v>46</v>
      </c>
      <c r="O34" s="4">
        <f>IFERROR(COUNTIFS(tblTransacciones[Tipo Movimiento],"Salida",tblTransacciones[Dot Number],"&lt;&gt;"),0)</f>
        <v>2</v>
      </c>
    </row>
    <row r="35" spans="2:15" x14ac:dyDescent="0.2">
      <c r="K35" s="7" t="s">
        <v>62</v>
      </c>
      <c r="L35" s="4">
        <f>IFERROR(SUMIFS(tblTransacciones[Cantidad],tblTransacciones[Tipo Movimiento],"Salida",tblTransacciones[Producto Id],6),0)</f>
        <v>1</v>
      </c>
    </row>
    <row r="36" spans="2:15" x14ac:dyDescent="0.2">
      <c r="K36" s="7" t="s">
        <v>63</v>
      </c>
      <c r="L36" s="4">
        <f>IFERROR(SUMIFS(tblTransacciones[Cantidad],tblTransacciones[Tipo Movimiento],"Salida",tblTransacciones[Producto Id],7),0)</f>
        <v>0</v>
      </c>
    </row>
    <row r="37" spans="2:15" x14ac:dyDescent="0.2">
      <c r="K37" s="7" t="s">
        <v>64</v>
      </c>
      <c r="L37" s="4">
        <f>IFERROR(SUMIFS(tblTransacciones[Cantidad],tblTransacciones[Tipo Movimiento],"Salida",tblTransacciones[Producto Id],10),0)</f>
        <v>0</v>
      </c>
    </row>
    <row r="38" spans="2:15" x14ac:dyDescent="0.2">
      <c r="K38" s="7" t="s">
        <v>65</v>
      </c>
      <c r="L38" s="4">
        <f>IFERROR(SUMIFS(tblTransacciones[Cantidad],tblTransacciones[Tipo Movimiento],"Salida",tblTransacciones[Producto Id],4),0)</f>
        <v>0</v>
      </c>
    </row>
    <row r="39" spans="2:15" x14ac:dyDescent="0.2">
      <c r="K39" s="7" t="s">
        <v>66</v>
      </c>
      <c r="L39" s="4">
        <f>IFERROR(SUMIFS(tblTransacciones[Cantidad],tblTransacciones[Tipo Movimiento],"Salida",tblTransacciones[Producto Id],5),0)</f>
        <v>0</v>
      </c>
    </row>
    <row r="40" spans="2:15" x14ac:dyDescent="0.2">
      <c r="K40" s="7" t="s">
        <v>67</v>
      </c>
      <c r="L40" s="4">
        <f>IFERROR(SUMIFS(tblTransacciones[Cantidad],tblTransacciones[Tipo Movimiento],"Salida",tblTransacciones[Producto Id],3),0)</f>
        <v>0</v>
      </c>
    </row>
    <row r="41" spans="2:15" x14ac:dyDescent="0.2">
      <c r="K41" s="7" t="s">
        <v>68</v>
      </c>
      <c r="L41" s="4">
        <f>IFERROR(SUMIFS(tblTransacciones[Cantidad],tblTransacciones[Tipo Movimiento],"Salida",tblTransacciones[Producto Id],8),0)</f>
        <v>0</v>
      </c>
    </row>
    <row r="42" spans="2:15" x14ac:dyDescent="0.2">
      <c r="B42" s="6" t="s">
        <v>69</v>
      </c>
    </row>
  </sheetData>
  <hyperlinks>
    <hyperlink ref="B42" location="Home!A1" display="← Back to Home" xr:uid="{00000000-0004-0000-0100-000000000000}"/>
  </hyperlinks>
  <printOptions horizontalCentered="1"/>
  <pageMargins left="0.35" right="0.35" top="0.6" bottom="0.6" header="0.25" footer="0.25"/>
  <pageSetup paperSize="9" fitToHeight="0" orientation="landscape"/>
  <headerFooter>
    <oddFooter>&amp;LLlantera Aceites Inventario&amp;RPage &amp;P of &amp;N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6366F1"/>
    <pageSetUpPr fitToPage="1"/>
  </sheetPr>
  <dimension ref="A1:AJ13"/>
  <sheetViews>
    <sheetView zoomScale="90" zoomScaleNormal="90"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2" customWidth="1"/>
    <col min="2" max="4" width="22" customWidth="1"/>
    <col min="5" max="5" width="16" customWidth="1"/>
    <col min="6" max="6" width="24" customWidth="1"/>
    <col min="7" max="7" width="12" customWidth="1"/>
    <col min="8" max="8" width="24" customWidth="1"/>
    <col min="9" max="9" width="13" customWidth="1"/>
    <col min="10" max="10" width="24" customWidth="1"/>
    <col min="11" max="14" width="16" customWidth="1"/>
    <col min="15" max="15" width="17" customWidth="1"/>
    <col min="16" max="16" width="31" customWidth="1"/>
    <col min="17" max="17" width="24" customWidth="1"/>
    <col min="18" max="18" width="31" customWidth="1"/>
    <col min="19" max="19" width="24" customWidth="1"/>
    <col min="20" max="22" width="12" customWidth="1"/>
    <col min="23" max="25" width="22" customWidth="1"/>
    <col min="26" max="26" width="18" customWidth="1"/>
    <col min="27" max="29" width="22" customWidth="1"/>
    <col min="30" max="30" width="18" customWidth="1"/>
    <col min="31" max="32" width="22" customWidth="1"/>
    <col min="33" max="33" width="19" customWidth="1"/>
    <col min="34" max="35" width="22" customWidth="1"/>
    <col min="36" max="36" width="17" customWidth="1"/>
  </cols>
  <sheetData>
    <row r="1" spans="1:36" ht="20" customHeight="1" x14ac:dyDescent="0.2">
      <c r="A1" s="1" t="s">
        <v>70</v>
      </c>
      <c r="B1" s="1" t="s">
        <v>71</v>
      </c>
      <c r="C1" s="1" t="s">
        <v>72</v>
      </c>
      <c r="D1" s="1" t="s">
        <v>73</v>
      </c>
      <c r="E1" s="1" t="s">
        <v>74</v>
      </c>
      <c r="F1" s="1" t="s">
        <v>75</v>
      </c>
      <c r="G1" s="1" t="s">
        <v>76</v>
      </c>
      <c r="H1" s="1" t="s">
        <v>77</v>
      </c>
      <c r="I1" s="1" t="s">
        <v>78</v>
      </c>
      <c r="J1" s="1" t="s">
        <v>79</v>
      </c>
      <c r="K1" s="1" t="s">
        <v>80</v>
      </c>
      <c r="L1" s="1" t="s">
        <v>81</v>
      </c>
      <c r="M1" s="1" t="s">
        <v>82</v>
      </c>
      <c r="N1" s="1" t="s">
        <v>83</v>
      </c>
      <c r="O1" s="1" t="s">
        <v>84</v>
      </c>
      <c r="P1" s="1" t="s">
        <v>85</v>
      </c>
      <c r="Q1" s="1" t="s">
        <v>86</v>
      </c>
      <c r="R1" s="1" t="s">
        <v>87</v>
      </c>
      <c r="S1" s="1" t="s">
        <v>88</v>
      </c>
      <c r="T1" s="1" t="s">
        <v>89</v>
      </c>
      <c r="U1" s="1" t="s">
        <v>90</v>
      </c>
      <c r="V1" s="1" t="s">
        <v>91</v>
      </c>
      <c r="W1" s="1" t="s">
        <v>92</v>
      </c>
      <c r="X1" s="1" t="s">
        <v>93</v>
      </c>
      <c r="Y1" s="1" t="s">
        <v>94</v>
      </c>
      <c r="Z1" s="1" t="s">
        <v>95</v>
      </c>
      <c r="AA1" s="1" t="s">
        <v>96</v>
      </c>
      <c r="AB1" s="1" t="s">
        <v>97</v>
      </c>
      <c r="AC1" s="1" t="s">
        <v>98</v>
      </c>
      <c r="AD1" s="1" t="s">
        <v>99</v>
      </c>
      <c r="AE1" s="1" t="s">
        <v>100</v>
      </c>
      <c r="AF1" s="1" t="s">
        <v>101</v>
      </c>
      <c r="AG1" s="1" t="s">
        <v>102</v>
      </c>
      <c r="AH1" s="1" t="s">
        <v>103</v>
      </c>
      <c r="AI1" s="1" t="s">
        <v>104</v>
      </c>
      <c r="AJ1" s="1" t="s">
        <v>105</v>
      </c>
    </row>
    <row r="2" spans="1:36" x14ac:dyDescent="0.2">
      <c r="A2" s="4">
        <v>1</v>
      </c>
      <c r="B2" s="16" t="s">
        <v>106</v>
      </c>
      <c r="C2" s="16" t="s">
        <v>107</v>
      </c>
      <c r="D2" s="16" t="s">
        <v>59</v>
      </c>
      <c r="E2" s="19">
        <v>1</v>
      </c>
      <c r="F2" t="str">
        <f>IFERROR(INDEX(tblCategoriasProducto[Nombre],MATCH(tblProductos[[#This Row],[Categoria Id]],tblCategoriasProducto[Id],0)),"")</f>
        <v>Llantas</v>
      </c>
      <c r="G2" s="19">
        <v>1</v>
      </c>
      <c r="H2" t="str">
        <f>IFERROR(INDEX(tblMarcas[Nombre],MATCH(tblProductos[[#This Row],[Marca Id]],tblMarcas[Id],0)),"")</f>
        <v>Michelin</v>
      </c>
      <c r="I2" s="19">
        <v>1</v>
      </c>
      <c r="J2" t="str">
        <f>IFERROR(INDEX(tblUnidades[Nombre],MATCH(tblProductos[[#This Row],[Unidad Id]],tblUnidades[Id],0)),"")</f>
        <v>Pieza</v>
      </c>
      <c r="K2" s="20">
        <v>1850</v>
      </c>
      <c r="L2" s="20">
        <v>2450</v>
      </c>
      <c r="M2" s="19">
        <v>4</v>
      </c>
      <c r="N2" s="19">
        <v>20</v>
      </c>
      <c r="O2" s="19">
        <v>6</v>
      </c>
      <c r="P2" s="19">
        <v>1</v>
      </c>
      <c r="Q2" t="str">
        <f>IFERROR(INDEX(tblUbicaciones[Nombre],MATCH(tblProductos[[#This Row],[Ubicacion Predeterminada Id]],tblUbicaciones[Id],0)),"")</f>
        <v>Rack Llantas A-01</v>
      </c>
      <c r="R2" s="19">
        <v>1</v>
      </c>
      <c r="S2" t="str">
        <f>IFERROR(INDEX(tblProveedores[Nombre],MATCH(tblProductos[[#This Row],[Proveedor Predeterminado Id]],tblProveedores[Id],0)),"")</f>
        <v>Distribuidora Michelin Centro</v>
      </c>
      <c r="T2" s="19">
        <v>205</v>
      </c>
      <c r="U2" s="19">
        <v>55</v>
      </c>
      <c r="V2" s="19">
        <v>16</v>
      </c>
      <c r="W2" s="16" t="s">
        <v>108</v>
      </c>
      <c r="X2" s="16" t="s">
        <v>109</v>
      </c>
      <c r="Y2" s="16" t="s">
        <v>110</v>
      </c>
      <c r="Z2" s="20"/>
      <c r="AA2" s="16"/>
      <c r="AB2" s="16"/>
      <c r="AC2" s="16"/>
      <c r="AD2" s="20"/>
      <c r="AE2" s="16"/>
      <c r="AF2" s="16"/>
      <c r="AG2" s="17"/>
      <c r="AH2" s="16" t="s">
        <v>111</v>
      </c>
      <c r="AI2" s="16" t="s">
        <v>112</v>
      </c>
      <c r="AJ2" s="18">
        <v>46189.911111111112</v>
      </c>
    </row>
    <row r="3" spans="1:36" x14ac:dyDescent="0.2">
      <c r="A3" s="4">
        <v>2</v>
      </c>
      <c r="B3" s="16" t="s">
        <v>113</v>
      </c>
      <c r="C3" s="16" t="s">
        <v>114</v>
      </c>
      <c r="D3" s="16" t="s">
        <v>56</v>
      </c>
      <c r="E3" s="19">
        <v>1</v>
      </c>
      <c r="F3" t="str">
        <f>IFERROR(INDEX(tblCategoriasProducto[Nombre],MATCH(tblProductos[[#This Row],[Categoria Id]],tblCategoriasProducto[Id],0)),"")</f>
        <v>Llantas</v>
      </c>
      <c r="G3" s="19">
        <v>2</v>
      </c>
      <c r="H3" t="str">
        <f>IFERROR(INDEX(tblMarcas[Nombre],MATCH(tblProductos[[#This Row],[Marca Id]],tblMarcas[Id],0)),"")</f>
        <v>Bridgestone</v>
      </c>
      <c r="I3" s="19">
        <v>1</v>
      </c>
      <c r="J3" t="str">
        <f>IFERROR(INDEX(tblUnidades[Nombre],MATCH(tblProductos[[#This Row],[Unidad Id]],tblUnidades[Id],0)),"")</f>
        <v>Pieza</v>
      </c>
      <c r="K3" s="20">
        <v>2100</v>
      </c>
      <c r="L3" s="20">
        <v>2890</v>
      </c>
      <c r="M3" s="19">
        <v>4</v>
      </c>
      <c r="N3" s="19">
        <v>20</v>
      </c>
      <c r="O3" s="19">
        <v>6</v>
      </c>
      <c r="P3" s="19">
        <v>1</v>
      </c>
      <c r="Q3" t="str">
        <f>IFERROR(INDEX(tblUbicaciones[Nombre],MATCH(tblProductos[[#This Row],[Ubicacion Predeterminada Id]],tblUbicaciones[Id],0)),"")</f>
        <v>Rack Llantas A-01</v>
      </c>
      <c r="R3" s="19">
        <v>1</v>
      </c>
      <c r="S3" t="str">
        <f>IFERROR(INDEX(tblProveedores[Nombre],MATCH(tblProductos[[#This Row],[Proveedor Predeterminado Id]],tblProveedores[Id],0)),"")</f>
        <v>Distribuidora Michelin Centro</v>
      </c>
      <c r="T3" s="19">
        <v>215</v>
      </c>
      <c r="U3" s="19">
        <v>55</v>
      </c>
      <c r="V3" s="19">
        <v>17</v>
      </c>
      <c r="W3" s="16" t="s">
        <v>108</v>
      </c>
      <c r="X3" s="16" t="s">
        <v>109</v>
      </c>
      <c r="Y3" s="16" t="s">
        <v>115</v>
      </c>
      <c r="Z3" s="20"/>
      <c r="AA3" s="16"/>
      <c r="AB3" s="16"/>
      <c r="AC3" s="16"/>
      <c r="AD3" s="20"/>
      <c r="AE3" s="16"/>
      <c r="AF3" s="16"/>
      <c r="AG3" s="17"/>
      <c r="AH3" s="16" t="s">
        <v>111</v>
      </c>
      <c r="AI3" s="16"/>
      <c r="AJ3" s="18">
        <v>46189.911111111112</v>
      </c>
    </row>
    <row r="4" spans="1:36" x14ac:dyDescent="0.2">
      <c r="A4" s="4">
        <v>3</v>
      </c>
      <c r="B4" s="16" t="s">
        <v>116</v>
      </c>
      <c r="C4" s="16" t="s">
        <v>117</v>
      </c>
      <c r="D4" s="16" t="s">
        <v>67</v>
      </c>
      <c r="E4" s="19">
        <v>1</v>
      </c>
      <c r="F4" t="str">
        <f>IFERROR(INDEX(tblCategoriasProducto[Nombre],MATCH(tblProductos[[#This Row],[Categoria Id]],tblCategoriasProducto[Id],0)),"")</f>
        <v>Llantas</v>
      </c>
      <c r="G4" s="19">
        <v>3</v>
      </c>
      <c r="H4" t="str">
        <f>IFERROR(INDEX(tblMarcas[Nombre],MATCH(tblProductos[[#This Row],[Marca Id]],tblMarcas[Id],0)),"")</f>
        <v>Pirelli</v>
      </c>
      <c r="I4" s="19">
        <v>1</v>
      </c>
      <c r="J4" t="str">
        <f>IFERROR(INDEX(tblUnidades[Nombre],MATCH(tblProductos[[#This Row],[Unidad Id]],tblUnidades[Id],0)),"")</f>
        <v>Pieza</v>
      </c>
      <c r="K4" s="20">
        <v>2450</v>
      </c>
      <c r="L4" s="20">
        <v>3290</v>
      </c>
      <c r="M4" s="19">
        <v>2</v>
      </c>
      <c r="N4" s="19">
        <v>12</v>
      </c>
      <c r="O4" s="19">
        <v>4</v>
      </c>
      <c r="P4" s="19">
        <v>1</v>
      </c>
      <c r="Q4" t="str">
        <f>IFERROR(INDEX(tblUbicaciones[Nombre],MATCH(tblProductos[[#This Row],[Ubicacion Predeterminada Id]],tblUbicaciones[Id],0)),"")</f>
        <v>Rack Llantas A-01</v>
      </c>
      <c r="R4" s="19">
        <v>3</v>
      </c>
      <c r="S4" t="str">
        <f>IFERROR(INDEX(tblProveedores[Nombre],MATCH(tblProductos[[#This Row],[Proveedor Predeterminado Id]],tblProveedores[Id],0)),"")</f>
        <v>Importadora Pirelli Mexico</v>
      </c>
      <c r="T4" s="19">
        <v>225</v>
      </c>
      <c r="U4" s="19">
        <v>45</v>
      </c>
      <c r="V4" s="19">
        <v>18</v>
      </c>
      <c r="W4" s="16" t="s">
        <v>108</v>
      </c>
      <c r="X4" s="16" t="s">
        <v>109</v>
      </c>
      <c r="Y4" s="16" t="s">
        <v>118</v>
      </c>
      <c r="Z4" s="20"/>
      <c r="AA4" s="16"/>
      <c r="AB4" s="16"/>
      <c r="AC4" s="16"/>
      <c r="AD4" s="20"/>
      <c r="AE4" s="16"/>
      <c r="AF4" s="16"/>
      <c r="AG4" s="17"/>
      <c r="AH4" s="16" t="s">
        <v>111</v>
      </c>
      <c r="AI4" s="16" t="s">
        <v>119</v>
      </c>
      <c r="AJ4" s="18">
        <v>46189.911111111112</v>
      </c>
    </row>
    <row r="5" spans="1:36" x14ac:dyDescent="0.2">
      <c r="A5" s="4">
        <v>4</v>
      </c>
      <c r="B5" s="16" t="s">
        <v>120</v>
      </c>
      <c r="C5" s="16" t="s">
        <v>121</v>
      </c>
      <c r="D5" s="16" t="s">
        <v>65</v>
      </c>
      <c r="E5" s="19">
        <v>1</v>
      </c>
      <c r="F5" t="str">
        <f>IFERROR(INDEX(tblCategoriasProducto[Nombre],MATCH(tblProductos[[#This Row],[Categoria Id]],tblCategoriasProducto[Id],0)),"")</f>
        <v>Llantas</v>
      </c>
      <c r="G5" s="19">
        <v>4</v>
      </c>
      <c r="H5" t="str">
        <f>IFERROR(INDEX(tblMarcas[Nombre],MATCH(tblProductos[[#This Row],[Marca Id]],tblMarcas[Id],0)),"")</f>
        <v>Continental</v>
      </c>
      <c r="I5" s="19">
        <v>1</v>
      </c>
      <c r="J5" t="str">
        <f>IFERROR(INDEX(tblUnidades[Nombre],MATCH(tblProductos[[#This Row],[Unidad Id]],tblUnidades[Id],0)),"")</f>
        <v>Pieza</v>
      </c>
      <c r="K5" s="20">
        <v>1650</v>
      </c>
      <c r="L5" s="20">
        <v>2290</v>
      </c>
      <c r="M5" s="19">
        <v>2</v>
      </c>
      <c r="N5" s="19">
        <v>8</v>
      </c>
      <c r="O5" s="19">
        <v>3</v>
      </c>
      <c r="P5" s="19">
        <v>2</v>
      </c>
      <c r="Q5" t="str">
        <f>IFERROR(INDEX(tblUbicaciones[Nombre],MATCH(tblProductos[[#This Row],[Ubicacion Predeterminada Id]],tblUbicaciones[Id],0)),"")</f>
        <v>Rack Llantas A-02</v>
      </c>
      <c r="R5" s="19">
        <v>1</v>
      </c>
      <c r="S5" t="str">
        <f>IFERROR(INDEX(tblProveedores[Nombre],MATCH(tblProductos[[#This Row],[Proveedor Predeterminado Id]],tblProveedores[Id],0)),"")</f>
        <v>Distribuidora Michelin Centro</v>
      </c>
      <c r="T5" s="19">
        <v>185</v>
      </c>
      <c r="U5" s="19">
        <v>65</v>
      </c>
      <c r="V5" s="19">
        <v>15</v>
      </c>
      <c r="W5" s="16" t="s">
        <v>122</v>
      </c>
      <c r="X5" s="16" t="s">
        <v>109</v>
      </c>
      <c r="Y5" s="16" t="s">
        <v>123</v>
      </c>
      <c r="Z5" s="20"/>
      <c r="AA5" s="16"/>
      <c r="AB5" s="16"/>
      <c r="AC5" s="16"/>
      <c r="AD5" s="20"/>
      <c r="AE5" s="16"/>
      <c r="AF5" s="16"/>
      <c r="AG5" s="17"/>
      <c r="AH5" s="16" t="s">
        <v>111</v>
      </c>
      <c r="AI5" s="16" t="s">
        <v>124</v>
      </c>
      <c r="AJ5" s="18">
        <v>46189.911111111112</v>
      </c>
    </row>
    <row r="6" spans="1:36" x14ac:dyDescent="0.2">
      <c r="A6" s="4">
        <v>5</v>
      </c>
      <c r="B6" s="16" t="s">
        <v>125</v>
      </c>
      <c r="C6" s="16" t="s">
        <v>126</v>
      </c>
      <c r="D6" s="16" t="s">
        <v>66</v>
      </c>
      <c r="E6" s="19">
        <v>1</v>
      </c>
      <c r="F6" t="str">
        <f>IFERROR(INDEX(tblCategoriasProducto[Nombre],MATCH(tblProductos[[#This Row],[Categoria Id]],tblCategoriasProducto[Id],0)),"")</f>
        <v>Llantas</v>
      </c>
      <c r="G6" s="19">
        <v>1</v>
      </c>
      <c r="H6" t="str">
        <f>IFERROR(INDEX(tblMarcas[Nombre],MATCH(tblProductos[[#This Row],[Marca Id]],tblMarcas[Id],0)),"")</f>
        <v>Michelin</v>
      </c>
      <c r="I6" s="19">
        <v>1</v>
      </c>
      <c r="J6" t="str">
        <f>IFERROR(INDEX(tblUnidades[Nombre],MATCH(tblProductos[[#This Row],[Unidad Id]],tblUnidades[Id],0)),"")</f>
        <v>Pieza</v>
      </c>
      <c r="K6" s="20">
        <v>3100</v>
      </c>
      <c r="L6" s="20">
        <v>4290</v>
      </c>
      <c r="M6" s="19">
        <v>4</v>
      </c>
      <c r="N6" s="19">
        <v>16</v>
      </c>
      <c r="O6" s="19">
        <v>6</v>
      </c>
      <c r="P6" s="19">
        <v>3</v>
      </c>
      <c r="Q6" t="str">
        <f>IFERROR(INDEX(tblUbicaciones[Nombre],MATCH(tblProductos[[#This Row],[Ubicacion Predeterminada Id]],tblUbicaciones[Id],0)),"")</f>
        <v>Rack Llantas A-03</v>
      </c>
      <c r="R6" s="19">
        <v>1</v>
      </c>
      <c r="S6" t="str">
        <f>IFERROR(INDEX(tblProveedores[Nombre],MATCH(tblProductos[[#This Row],[Proveedor Predeterminado Id]],tblProveedores[Id],0)),"")</f>
        <v>Distribuidora Michelin Centro</v>
      </c>
      <c r="T6" s="19">
        <v>265</v>
      </c>
      <c r="U6" s="19">
        <v>70</v>
      </c>
      <c r="V6" s="19">
        <v>17</v>
      </c>
      <c r="W6" s="16" t="s">
        <v>108</v>
      </c>
      <c r="X6" s="16" t="s">
        <v>109</v>
      </c>
      <c r="Y6" s="16" t="s">
        <v>127</v>
      </c>
      <c r="Z6" s="20"/>
      <c r="AA6" s="16"/>
      <c r="AB6" s="16"/>
      <c r="AC6" s="16"/>
      <c r="AD6" s="20"/>
      <c r="AE6" s="16"/>
      <c r="AF6" s="16"/>
      <c r="AG6" s="17"/>
      <c r="AH6" s="16" t="s">
        <v>111</v>
      </c>
      <c r="AI6" s="16" t="s">
        <v>128</v>
      </c>
      <c r="AJ6" s="18">
        <v>46189.911111111112</v>
      </c>
    </row>
    <row r="7" spans="1:36" x14ac:dyDescent="0.2">
      <c r="A7" s="4">
        <v>6</v>
      </c>
      <c r="B7" s="16" t="s">
        <v>129</v>
      </c>
      <c r="C7" s="16" t="s">
        <v>130</v>
      </c>
      <c r="D7" s="16" t="s">
        <v>62</v>
      </c>
      <c r="E7" s="19">
        <v>2</v>
      </c>
      <c r="F7" t="str">
        <f>IFERROR(INDEX(tblCategoriasProducto[Nombre],MATCH(tblProductos[[#This Row],[Categoria Id]],tblCategoriasProducto[Id],0)),"")</f>
        <v>Aceites</v>
      </c>
      <c r="G7" s="19">
        <v>5</v>
      </c>
      <c r="H7" t="str">
        <f>IFERROR(INDEX(tblMarcas[Nombre],MATCH(tblProductos[[#This Row],[Marca Id]],tblMarcas[Id],0)),"")</f>
        <v>Mobil</v>
      </c>
      <c r="I7" s="19">
        <v>2</v>
      </c>
      <c r="J7" t="str">
        <f>IFERROR(INDEX(tblUnidades[Nombre],MATCH(tblProductos[[#This Row],[Unidad Id]],tblUnidades[Id],0)),"")</f>
        <v>Litro</v>
      </c>
      <c r="K7" s="20">
        <v>950</v>
      </c>
      <c r="L7" s="20">
        <v>1290</v>
      </c>
      <c r="M7" s="19">
        <v>10</v>
      </c>
      <c r="N7" s="19">
        <v>50</v>
      </c>
      <c r="O7" s="19">
        <v>15</v>
      </c>
      <c r="P7" s="19">
        <v>4</v>
      </c>
      <c r="Q7" t="str">
        <f>IFERROR(INDEX(tblUbicaciones[Nombre],MATCH(tblProductos[[#This Row],[Ubicacion Predeterminada Id]],tblUbicaciones[Id],0)),"")</f>
        <v>Estante Aceites Norte</v>
      </c>
      <c r="R7" s="19">
        <v>2</v>
      </c>
      <c r="S7" t="str">
        <f>IFERROR(INDEX(tblProveedores[Nombre],MATCH(tblProductos[[#This Row],[Proveedor Predeterminado Id]],tblProveedores[Id],0)),"")</f>
        <v>Lubricantes del Valle SA</v>
      </c>
      <c r="T7" s="19"/>
      <c r="U7" s="19"/>
      <c r="V7" s="19"/>
      <c r="W7" s="16"/>
      <c r="X7" s="16"/>
      <c r="Y7" s="16"/>
      <c r="Z7" s="20"/>
      <c r="AA7" s="16"/>
      <c r="AB7" s="16" t="s">
        <v>131</v>
      </c>
      <c r="AC7" s="16" t="s">
        <v>132</v>
      </c>
      <c r="AD7" s="20">
        <v>5</v>
      </c>
      <c r="AE7" s="16" t="s">
        <v>133</v>
      </c>
      <c r="AF7" s="16" t="s">
        <v>134</v>
      </c>
      <c r="AG7" s="17">
        <v>46904</v>
      </c>
      <c r="AH7" s="16" t="s">
        <v>111</v>
      </c>
      <c r="AI7" s="16" t="s">
        <v>135</v>
      </c>
      <c r="AJ7" s="18">
        <v>46189.911111111112</v>
      </c>
    </row>
    <row r="8" spans="1:36" x14ac:dyDescent="0.2">
      <c r="A8" s="4">
        <v>7</v>
      </c>
      <c r="B8" s="16" t="s">
        <v>136</v>
      </c>
      <c r="C8" s="16" t="s">
        <v>137</v>
      </c>
      <c r="D8" s="16" t="s">
        <v>63</v>
      </c>
      <c r="E8" s="19">
        <v>2</v>
      </c>
      <c r="F8" t="str">
        <f>IFERROR(INDEX(tblCategoriasProducto[Nombre],MATCH(tblProductos[[#This Row],[Categoria Id]],tblCategoriasProducto[Id],0)),"")</f>
        <v>Aceites</v>
      </c>
      <c r="G8" s="19">
        <v>6</v>
      </c>
      <c r="H8" t="str">
        <f>IFERROR(INDEX(tblMarcas[Nombre],MATCH(tblProductos[[#This Row],[Marca Id]],tblMarcas[Id],0)),"")</f>
        <v>Castrol</v>
      </c>
      <c r="I8" s="19">
        <v>2</v>
      </c>
      <c r="J8" t="str">
        <f>IFERROR(INDEX(tblUnidades[Nombre],MATCH(tblProductos[[#This Row],[Unidad Id]],tblUnidades[Id],0)),"")</f>
        <v>Litro</v>
      </c>
      <c r="K8" s="20">
        <v>620</v>
      </c>
      <c r="L8" s="20">
        <v>870</v>
      </c>
      <c r="M8" s="19">
        <v>10</v>
      </c>
      <c r="N8" s="19">
        <v>40</v>
      </c>
      <c r="O8" s="19">
        <v>15</v>
      </c>
      <c r="P8" s="19">
        <v>4</v>
      </c>
      <c r="Q8" t="str">
        <f>IFERROR(INDEX(tblUbicaciones[Nombre],MATCH(tblProductos[[#This Row],[Ubicacion Predeterminada Id]],tblUbicaciones[Id],0)),"")</f>
        <v>Estante Aceites Norte</v>
      </c>
      <c r="R8" s="19">
        <v>2</v>
      </c>
      <c r="S8" t="str">
        <f>IFERROR(INDEX(tblProveedores[Nombre],MATCH(tblProductos[[#This Row],[Proveedor Predeterminado Id]],tblProveedores[Id],0)),"")</f>
        <v>Lubricantes del Valle SA</v>
      </c>
      <c r="T8" s="19"/>
      <c r="U8" s="19"/>
      <c r="V8" s="19"/>
      <c r="W8" s="16"/>
      <c r="X8" s="16"/>
      <c r="Y8" s="16"/>
      <c r="Z8" s="20"/>
      <c r="AA8" s="16"/>
      <c r="AB8" s="16" t="s">
        <v>138</v>
      </c>
      <c r="AC8" s="16" t="s">
        <v>139</v>
      </c>
      <c r="AD8" s="20">
        <v>4</v>
      </c>
      <c r="AE8" s="16" t="s">
        <v>133</v>
      </c>
      <c r="AF8" s="16" t="s">
        <v>140</v>
      </c>
      <c r="AG8" s="17">
        <v>46873</v>
      </c>
      <c r="AH8" s="16" t="s">
        <v>111</v>
      </c>
      <c r="AI8" s="16" t="s">
        <v>141</v>
      </c>
      <c r="AJ8" s="18">
        <v>46189.911111111112</v>
      </c>
    </row>
    <row r="9" spans="1:36" x14ac:dyDescent="0.2">
      <c r="A9" s="4">
        <v>8</v>
      </c>
      <c r="B9" s="16" t="s">
        <v>142</v>
      </c>
      <c r="C9" s="16" t="s">
        <v>143</v>
      </c>
      <c r="D9" s="16" t="s">
        <v>68</v>
      </c>
      <c r="E9" s="19">
        <v>2</v>
      </c>
      <c r="F9" t="str">
        <f>IFERROR(INDEX(tblCategoriasProducto[Nombre],MATCH(tblProductos[[#This Row],[Categoria Id]],tblCategoriasProducto[Id],0)),"")</f>
        <v>Aceites</v>
      </c>
      <c r="G9" s="19">
        <v>7</v>
      </c>
      <c r="H9" t="str">
        <f>IFERROR(INDEX(tblMarcas[Nombre],MATCH(tblProductos[[#This Row],[Marca Id]],tblMarcas[Id],0)),"")</f>
        <v>Shell</v>
      </c>
      <c r="I9" s="19">
        <v>2</v>
      </c>
      <c r="J9" t="str">
        <f>IFERROR(INDEX(tblUnidades[Nombre],MATCH(tblProductos[[#This Row],[Unidad Id]],tblUnidades[Id],0)),"")</f>
        <v>Litro</v>
      </c>
      <c r="K9" s="20">
        <v>780</v>
      </c>
      <c r="L9" s="20">
        <v>1090</v>
      </c>
      <c r="M9" s="19">
        <v>6</v>
      </c>
      <c r="N9" s="19">
        <v>30</v>
      </c>
      <c r="O9" s="19">
        <v>10</v>
      </c>
      <c r="P9" s="19">
        <v>5</v>
      </c>
      <c r="Q9" t="str">
        <f>IFERROR(INDEX(tblUbicaciones[Nombre],MATCH(tblProductos[[#This Row],[Ubicacion Predeterminada Id]],tblUbicaciones[Id],0)),"")</f>
        <v>Estante Aceites Sur</v>
      </c>
      <c r="R9" s="19">
        <v>2</v>
      </c>
      <c r="S9" t="str">
        <f>IFERROR(INDEX(tblProveedores[Nombre],MATCH(tblProductos[[#This Row],[Proveedor Predeterminado Id]],tblProveedores[Id],0)),"")</f>
        <v>Lubricantes del Valle SA</v>
      </c>
      <c r="T9" s="19"/>
      <c r="U9" s="19"/>
      <c r="V9" s="19"/>
      <c r="W9" s="16"/>
      <c r="X9" s="16"/>
      <c r="Y9" s="16"/>
      <c r="Z9" s="20"/>
      <c r="AA9" s="16"/>
      <c r="AB9" s="16" t="s">
        <v>144</v>
      </c>
      <c r="AC9" s="16" t="s">
        <v>132</v>
      </c>
      <c r="AD9" s="20">
        <v>4</v>
      </c>
      <c r="AE9" s="16" t="s">
        <v>145</v>
      </c>
      <c r="AF9" s="16" t="s">
        <v>146</v>
      </c>
      <c r="AG9" s="17">
        <v>46934</v>
      </c>
      <c r="AH9" s="16" t="s">
        <v>111</v>
      </c>
      <c r="AI9" s="16" t="s">
        <v>147</v>
      </c>
      <c r="AJ9" s="18">
        <v>46189.911111111112</v>
      </c>
    </row>
    <row r="10" spans="1:36" x14ac:dyDescent="0.2">
      <c r="A10" s="4">
        <v>9</v>
      </c>
      <c r="B10" s="16" t="s">
        <v>148</v>
      </c>
      <c r="C10" s="16" t="s">
        <v>149</v>
      </c>
      <c r="D10" s="16" t="s">
        <v>61</v>
      </c>
      <c r="E10" s="19">
        <v>2</v>
      </c>
      <c r="F10" t="str">
        <f>IFERROR(INDEX(tblCategoriasProducto[Nombre],MATCH(tblProductos[[#This Row],[Categoria Id]],tblCategoriasProducto[Id],0)),"")</f>
        <v>Aceites</v>
      </c>
      <c r="G10" s="19">
        <v>5</v>
      </c>
      <c r="H10" t="str">
        <f>IFERROR(INDEX(tblMarcas[Nombre],MATCH(tblProductos[[#This Row],[Marca Id]],tblMarcas[Id],0)),"")</f>
        <v>Mobil</v>
      </c>
      <c r="I10" s="19">
        <v>2</v>
      </c>
      <c r="J10" t="str">
        <f>IFERROR(INDEX(tblUnidades[Nombre],MATCH(tblProductos[[#This Row],[Unidad Id]],tblUnidades[Id],0)),"")</f>
        <v>Litro</v>
      </c>
      <c r="K10" s="20">
        <v>240</v>
      </c>
      <c r="L10" s="20">
        <v>340</v>
      </c>
      <c r="M10" s="19">
        <v>12</v>
      </c>
      <c r="N10" s="19">
        <v>60</v>
      </c>
      <c r="O10" s="19">
        <v>18</v>
      </c>
      <c r="P10" s="19">
        <v>4</v>
      </c>
      <c r="Q10" t="str">
        <f>IFERROR(INDEX(tblUbicaciones[Nombre],MATCH(tblProductos[[#This Row],[Ubicacion Predeterminada Id]],tblUbicaciones[Id],0)),"")</f>
        <v>Estante Aceites Norte</v>
      </c>
      <c r="R10" s="19">
        <v>2</v>
      </c>
      <c r="S10" t="str">
        <f>IFERROR(INDEX(tblProveedores[Nombre],MATCH(tblProductos[[#This Row],[Proveedor Predeterminado Id]],tblProveedores[Id],0)),"")</f>
        <v>Lubricantes del Valle SA</v>
      </c>
      <c r="T10" s="19"/>
      <c r="U10" s="19"/>
      <c r="V10" s="19"/>
      <c r="W10" s="16"/>
      <c r="X10" s="16"/>
      <c r="Y10" s="16"/>
      <c r="Z10" s="20"/>
      <c r="AA10" s="16"/>
      <c r="AB10" s="16" t="s">
        <v>150</v>
      </c>
      <c r="AC10" s="16" t="s">
        <v>132</v>
      </c>
      <c r="AD10" s="20">
        <v>1</v>
      </c>
      <c r="AE10" s="16" t="s">
        <v>133</v>
      </c>
      <c r="AF10" s="16" t="s">
        <v>151</v>
      </c>
      <c r="AG10" s="17">
        <v>46904</v>
      </c>
      <c r="AH10" s="16" t="s">
        <v>111</v>
      </c>
      <c r="AI10" s="16" t="s">
        <v>152</v>
      </c>
      <c r="AJ10" s="18">
        <v>46189.911111111112</v>
      </c>
    </row>
    <row r="11" spans="1:36" x14ac:dyDescent="0.2">
      <c r="A11" s="4">
        <v>10</v>
      </c>
      <c r="B11" s="16" t="s">
        <v>153</v>
      </c>
      <c r="C11" s="16" t="s">
        <v>154</v>
      </c>
      <c r="D11" s="16" t="s">
        <v>64</v>
      </c>
      <c r="E11" s="19">
        <v>2</v>
      </c>
      <c r="F11" t="str">
        <f>IFERROR(INDEX(tblCategoriasProducto[Nombre],MATCH(tblProductos[[#This Row],[Categoria Id]],tblCategoriasProducto[Id],0)),"")</f>
        <v>Aceites</v>
      </c>
      <c r="G11" s="19">
        <v>6</v>
      </c>
      <c r="H11" t="str">
        <f>IFERROR(INDEX(tblMarcas[Nombre],MATCH(tblProductos[[#This Row],[Marca Id]],tblMarcas[Id],0)),"")</f>
        <v>Castrol</v>
      </c>
      <c r="I11" s="19">
        <v>2</v>
      </c>
      <c r="J11" t="str">
        <f>IFERROR(INDEX(tblUnidades[Nombre],MATCH(tblProductos[[#This Row],[Unidad Id]],tblUnidades[Id],0)),"")</f>
        <v>Litro</v>
      </c>
      <c r="K11" s="20">
        <v>280</v>
      </c>
      <c r="L11" s="20">
        <v>390</v>
      </c>
      <c r="M11" s="19">
        <v>6</v>
      </c>
      <c r="N11" s="19">
        <v>24</v>
      </c>
      <c r="O11" s="19">
        <v>9</v>
      </c>
      <c r="P11" s="19">
        <v>5</v>
      </c>
      <c r="Q11" t="str">
        <f>IFERROR(INDEX(tblUbicaciones[Nombre],MATCH(tblProductos[[#This Row],[Ubicacion Predeterminada Id]],tblUbicaciones[Id],0)),"")</f>
        <v>Estante Aceites Sur</v>
      </c>
      <c r="R11" s="19">
        <v>2</v>
      </c>
      <c r="S11" t="str">
        <f>IFERROR(INDEX(tblProveedores[Nombre],MATCH(tblProductos[[#This Row],[Proveedor Predeterminado Id]],tblProveedores[Id],0)),"")</f>
        <v>Lubricantes del Valle SA</v>
      </c>
      <c r="T11" s="19"/>
      <c r="U11" s="19"/>
      <c r="V11" s="19"/>
      <c r="W11" s="16"/>
      <c r="X11" s="16"/>
      <c r="Y11" s="16"/>
      <c r="Z11" s="20"/>
      <c r="AA11" s="16"/>
      <c r="AB11" s="16" t="s">
        <v>155</v>
      </c>
      <c r="AC11" s="16" t="s">
        <v>132</v>
      </c>
      <c r="AD11" s="20">
        <v>1</v>
      </c>
      <c r="AE11" s="16" t="s">
        <v>156</v>
      </c>
      <c r="AF11" s="16" t="s">
        <v>157</v>
      </c>
      <c r="AG11" s="17">
        <v>47603</v>
      </c>
      <c r="AH11" s="16" t="s">
        <v>111</v>
      </c>
      <c r="AI11" s="16" t="s">
        <v>158</v>
      </c>
      <c r="AJ11" s="18">
        <v>46189.911111111112</v>
      </c>
    </row>
    <row r="12" spans="1:36" x14ac:dyDescent="0.2">
      <c r="A12" s="4">
        <v>11</v>
      </c>
      <c r="B12" s="16" t="s">
        <v>159</v>
      </c>
      <c r="C12" s="16" t="s">
        <v>160</v>
      </c>
      <c r="D12" s="16" t="s">
        <v>58</v>
      </c>
      <c r="E12" s="19">
        <v>3</v>
      </c>
      <c r="F12" t="str">
        <f>IFERROR(INDEX(tblCategoriasProducto[Nombre],MATCH(tblProductos[[#This Row],[Categoria Id]],tblCategoriasProducto[Id],0)),"")</f>
        <v>Filtros</v>
      </c>
      <c r="G12" s="19">
        <v>5</v>
      </c>
      <c r="H12" t="str">
        <f>IFERROR(INDEX(tblMarcas[Nombre],MATCH(tblProductos[[#This Row],[Marca Id]],tblMarcas[Id],0)),"")</f>
        <v>Mobil</v>
      </c>
      <c r="I12" s="19">
        <v>1</v>
      </c>
      <c r="J12" t="str">
        <f>IFERROR(INDEX(tblUnidades[Nombre],MATCH(tblProductos[[#This Row],[Unidad Id]],tblUnidades[Id],0)),"")</f>
        <v>Pieza</v>
      </c>
      <c r="K12" s="20">
        <v>95</v>
      </c>
      <c r="L12" s="20">
        <v>145</v>
      </c>
      <c r="M12" s="19">
        <v>20</v>
      </c>
      <c r="N12" s="19">
        <v>100</v>
      </c>
      <c r="O12" s="19">
        <v>30</v>
      </c>
      <c r="P12" s="19">
        <v>6</v>
      </c>
      <c r="Q12" t="str">
        <f>IFERROR(INDEX(tblUbicaciones[Nombre],MATCH(tblProductos[[#This Row],[Ubicacion Predeterminada Id]],tblUbicaciones[Id],0)),"")</f>
        <v>Mostrador</v>
      </c>
      <c r="R12" s="19">
        <v>4</v>
      </c>
      <c r="S12" t="str">
        <f>IFERROR(INDEX(tblProveedores[Nombre],MATCH(tblProductos[[#This Row],[Proveedor Predeterminado Id]],tblProveedores[Id],0)),"")</f>
        <v>AutoPartes GIC Mayorista</v>
      </c>
      <c r="T12" s="19"/>
      <c r="U12" s="19"/>
      <c r="V12" s="19"/>
      <c r="W12" s="16"/>
      <c r="X12" s="16"/>
      <c r="Y12" s="16"/>
      <c r="Z12" s="20"/>
      <c r="AA12" s="16"/>
      <c r="AB12" s="16"/>
      <c r="AC12" s="16"/>
      <c r="AD12" s="20"/>
      <c r="AE12" s="16"/>
      <c r="AF12" s="16" t="s">
        <v>161</v>
      </c>
      <c r="AG12" s="17"/>
      <c r="AH12" s="16" t="s">
        <v>111</v>
      </c>
      <c r="AI12" s="16" t="s">
        <v>162</v>
      </c>
      <c r="AJ12" s="18">
        <v>46189.911111111112</v>
      </c>
    </row>
    <row r="13" spans="1:36" x14ac:dyDescent="0.2">
      <c r="A13" s="6" t="s">
        <v>163</v>
      </c>
    </row>
  </sheetData>
  <sheetProtection sheet="1" scenarios="1" insertRows="0" deleteRows="0" sort="0" autoFilter="0"/>
  <dataValidations count="5">
    <dataValidation type="list" allowBlank="1" showInputMessage="1" showErrorMessage="1" errorTitle="Unknown reference" error="This value must match an existing Categoria de producto." promptTitle="Categoria Id" prompt="Pick an existing Categoria de producto. The lookup column shows its name." sqref="E2:E512" xr:uid="{00000000-0002-0000-0200-000000000000}">
      <formula1>dv_productos_categoria_id</formula1>
    </dataValidation>
    <dataValidation type="list" allowBlank="1" showInputMessage="1" showErrorMessage="1" errorTitle="Unknown reference" error="This value must match an existing Marca." promptTitle="Marca Id" prompt="Pick an existing Marca. The lookup column shows its name." sqref="G2:G512" xr:uid="{00000000-0002-0000-0200-000001000000}">
      <formula1>dv_productos_marca_id</formula1>
    </dataValidation>
    <dataValidation type="list" allowBlank="1" showInputMessage="1" showErrorMessage="1" errorTitle="Unknown reference" error="This value must match an existing Unidad." promptTitle="Unidad Id" prompt="Pick an existing Unidad. The lookup column shows its name." sqref="I2:I512" xr:uid="{00000000-0002-0000-0200-000002000000}">
      <formula1>dv_productos_unidad_id</formula1>
    </dataValidation>
    <dataValidation type="list" allowBlank="1" showInputMessage="1" showErrorMessage="1" errorTitle="Unknown reference" error="This value must match an existing Ubicacion." promptTitle="Ubicacion Predeterminada Id" prompt="Pick an existing Ubicacion. The lookup column shows its name." sqref="P2:P512" xr:uid="{00000000-0002-0000-0200-000003000000}">
      <formula1>dv_productos_ubicacion_predeterminada_id</formula1>
    </dataValidation>
    <dataValidation type="list" allowBlank="1" showInputMessage="1" showErrorMessage="1" errorTitle="Unknown reference" error="This value must match an existing Proveedor." promptTitle="Proveedor Predeterminado Id" prompt="Pick an existing Proveedor. The lookup column shows its name." sqref="R2:R512" xr:uid="{00000000-0002-0000-0200-000004000000}">
      <formula1>dv_productos_proveedor_predeterminado_id</formula1>
    </dataValidation>
  </dataValidations>
  <hyperlinks>
    <hyperlink ref="A13" location="Home!A1" display="Back to Home" xr:uid="{00000000-0004-0000-0200-000000000000}"/>
  </hyperlinks>
  <pageMargins left="0.35" right="0.35" top="0.6" bottom="0.6" header="0.25" footer="0.25"/>
  <pageSetup paperSize="9" fitToHeight="0" orientation="landscape"/>
  <headerFooter>
    <oddFooter>&amp;LLlantera Aceites Inventario&amp;RPage &amp;P of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3" name="sfBtnNew">
              <controlPr defaultSize="0" print="0" autoFill="0" autoPict="0" macro="[0]!modEngine.NewRecord">
                <anchor moveWithCells="1" sizeWithCells="1">
                  <from>
                    <xdr:col>36</xdr:col>
                    <xdr:colOff>152400</xdr:colOff>
                    <xdr:row>0</xdr:row>
                    <xdr:rowOff>50800</xdr:rowOff>
                  </from>
                  <to>
                    <xdr:col>37</xdr:col>
                    <xdr:colOff>495300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4" name="sfBtnEdit">
              <controlPr defaultSize="0" print="0" autoFill="0" autoPict="0" macro="[0]!modEngine.EditRecord">
                <anchor moveWithCells="1" sizeWithCells="1">
                  <from>
                    <xdr:col>37</xdr:col>
                    <xdr:colOff>571500</xdr:colOff>
                    <xdr:row>0</xdr:row>
                    <xdr:rowOff>50800</xdr:rowOff>
                  </from>
                  <to>
                    <xdr:col>39</xdr:col>
                    <xdr:colOff>241300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sfBtnDelete">
              <controlPr defaultSize="0" print="0" autoFill="0" autoPict="0" macro="[0]!modEngine.DeleteSelectedRecord">
                <anchor moveWithCells="1" sizeWithCells="1">
                  <from>
                    <xdr:col>39</xdr:col>
                    <xdr:colOff>317500</xdr:colOff>
                    <xdr:row>0</xdr:row>
                    <xdr:rowOff>50800</xdr:rowOff>
                  </from>
                  <to>
                    <xdr:col>40</xdr:col>
                    <xdr:colOff>660400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6366F1"/>
    <pageSetUpPr fitToPage="1"/>
  </sheetPr>
  <dimension ref="A1:G13"/>
  <sheetViews>
    <sheetView zoomScale="90" zoomScaleNormal="90"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2" width="12" customWidth="1"/>
    <col min="3" max="3" width="15" customWidth="1"/>
    <col min="4" max="4" width="24" customWidth="1"/>
    <col min="5" max="5" width="16" customWidth="1"/>
    <col min="6" max="6" width="24" customWidth="1"/>
    <col min="7" max="7" width="17" customWidth="1"/>
  </cols>
  <sheetData>
    <row r="1" spans="1:7" ht="20" customHeight="1" x14ac:dyDescent="0.2">
      <c r="A1" s="1" t="s">
        <v>70</v>
      </c>
      <c r="B1" s="1" t="s">
        <v>164</v>
      </c>
      <c r="C1" s="1" t="s">
        <v>165</v>
      </c>
      <c r="D1" s="1" t="s">
        <v>166</v>
      </c>
      <c r="E1" s="1" t="s">
        <v>167</v>
      </c>
      <c r="F1" s="1" t="s">
        <v>168</v>
      </c>
      <c r="G1" s="1" t="s">
        <v>169</v>
      </c>
    </row>
    <row r="2" spans="1:7" x14ac:dyDescent="0.2">
      <c r="A2" s="4">
        <v>1</v>
      </c>
      <c r="B2" s="19">
        <v>12</v>
      </c>
      <c r="C2" s="19">
        <v>1</v>
      </c>
      <c r="D2" t="str">
        <f>IFERROR(INDEX(tblProductos[Nombre],MATCH(tblStockPorUbicacion[[#This Row],[Producto Id]],tblProductos[Id],0)),"")</f>
        <v>Michelin Primacy 4 205/55R16 91V</v>
      </c>
      <c r="E2" s="19">
        <v>1</v>
      </c>
      <c r="F2" t="str">
        <f>IFERROR(INDEX(tblUbicaciones[Nombre],MATCH(tblStockPorUbicacion[[#This Row],[Ubicacion Id]],tblUbicaciones[Id],0)),"")</f>
        <v>Rack Llantas A-01</v>
      </c>
      <c r="G2" s="18">
        <v>46189.911111111112</v>
      </c>
    </row>
    <row r="3" spans="1:7" x14ac:dyDescent="0.2">
      <c r="A3" s="4">
        <v>2</v>
      </c>
      <c r="B3" s="19">
        <v>8</v>
      </c>
      <c r="C3" s="19">
        <v>2</v>
      </c>
      <c r="D3" t="str">
        <f>IFERROR(INDEX(tblProductos[Nombre],MATCH(tblStockPorUbicacion[[#This Row],[Producto Id]],tblProductos[Id],0)),"")</f>
        <v>Bridgestone Turanza 215/55R17 94V</v>
      </c>
      <c r="E3" s="19">
        <v>1</v>
      </c>
      <c r="F3" t="str">
        <f>IFERROR(INDEX(tblUbicaciones[Nombre],MATCH(tblStockPorUbicacion[[#This Row],[Ubicacion Id]],tblUbicaciones[Id],0)),"")</f>
        <v>Rack Llantas A-01</v>
      </c>
      <c r="G3" s="18">
        <v>46189.911111111112</v>
      </c>
    </row>
    <row r="4" spans="1:7" x14ac:dyDescent="0.2">
      <c r="A4" s="4">
        <v>3</v>
      </c>
      <c r="B4" s="19">
        <v>6</v>
      </c>
      <c r="C4" s="19">
        <v>3</v>
      </c>
      <c r="D4" t="str">
        <f>IFERROR(INDEX(tblProductos[Nombre],MATCH(tblStockPorUbicacion[[#This Row],[Producto Id]],tblProductos[Id],0)),"")</f>
        <v>Pirelli Cinturato 225/45R18 95W</v>
      </c>
      <c r="E4" s="19">
        <v>1</v>
      </c>
      <c r="F4" t="str">
        <f>IFERROR(INDEX(tblUbicaciones[Nombre],MATCH(tblStockPorUbicacion[[#This Row],[Ubicacion Id]],tblUbicaciones[Id],0)),"")</f>
        <v>Rack Llantas A-01</v>
      </c>
      <c r="G4" s="18">
        <v>46189.911111111112</v>
      </c>
    </row>
    <row r="5" spans="1:7" x14ac:dyDescent="0.2">
      <c r="A5" s="4">
        <v>4</v>
      </c>
      <c r="B5" s="19">
        <v>4</v>
      </c>
      <c r="C5" s="19">
        <v>4</v>
      </c>
      <c r="D5" t="str">
        <f>IFERROR(INDEX(tblProductos[Nombre],MATCH(tblStockPorUbicacion[[#This Row],[Producto Id]],tblProductos[Id],0)),"")</f>
        <v>Continental WinterContact 185/65R15</v>
      </c>
      <c r="E5" s="19">
        <v>2</v>
      </c>
      <c r="F5" t="str">
        <f>IFERROR(INDEX(tblUbicaciones[Nombre],MATCH(tblStockPorUbicacion[[#This Row],[Ubicacion Id]],tblUbicaciones[Id],0)),"")</f>
        <v>Rack Llantas A-02</v>
      </c>
      <c r="G5" s="18">
        <v>46189.911111111112</v>
      </c>
    </row>
    <row r="6" spans="1:7" x14ac:dyDescent="0.2">
      <c r="A6" s="4">
        <v>5</v>
      </c>
      <c r="B6" s="19">
        <v>10</v>
      </c>
      <c r="C6" s="19">
        <v>5</v>
      </c>
      <c r="D6" t="str">
        <f>IFERROR(INDEX(tblProductos[Nombre],MATCH(tblStockPorUbicacion[[#This Row],[Producto Id]],tblProductos[Id],0)),"")</f>
        <v>Michelin LTX A/T 265/70R17 121S</v>
      </c>
      <c r="E6" s="19">
        <v>3</v>
      </c>
      <c r="F6" t="str">
        <f>IFERROR(INDEX(tblUbicaciones[Nombre],MATCH(tblStockPorUbicacion[[#This Row],[Ubicacion Id]],tblUbicaciones[Id],0)),"")</f>
        <v>Rack Llantas A-03</v>
      </c>
      <c r="G6" s="18">
        <v>46189.911111111112</v>
      </c>
    </row>
    <row r="7" spans="1:7" x14ac:dyDescent="0.2">
      <c r="A7" s="4">
        <v>6</v>
      </c>
      <c r="B7" s="19">
        <v>35</v>
      </c>
      <c r="C7" s="19">
        <v>6</v>
      </c>
      <c r="D7" t="str">
        <f>IFERROR(INDEX(tblProductos[Nombre],MATCH(tblStockPorUbicacion[[#This Row],[Producto Id]],tblProductos[Id],0)),"")</f>
        <v>Mobil 1 Full Synthetic 5W-30 5L</v>
      </c>
      <c r="E7" s="19">
        <v>4</v>
      </c>
      <c r="F7" t="str">
        <f>IFERROR(INDEX(tblUbicaciones[Nombre],MATCH(tblStockPorUbicacion[[#This Row],[Ubicacion Id]],tblUbicaciones[Id],0)),"")</f>
        <v>Estante Aceites Norte</v>
      </c>
      <c r="G7" s="18">
        <v>46189.911111111112</v>
      </c>
    </row>
    <row r="8" spans="1:7" x14ac:dyDescent="0.2">
      <c r="A8" s="4">
        <v>7</v>
      </c>
      <c r="B8" s="19">
        <v>22</v>
      </c>
      <c r="C8" s="19">
        <v>7</v>
      </c>
      <c r="D8" t="str">
        <f>IFERROR(INDEX(tblProductos[Nombre],MATCH(tblStockPorUbicacion[[#This Row],[Producto Id]],tblProductos[Id],0)),"")</f>
        <v>Castrol GTX 10W-30 4L</v>
      </c>
      <c r="E8" s="19">
        <v>4</v>
      </c>
      <c r="F8" t="str">
        <f>IFERROR(INDEX(tblUbicaciones[Nombre],MATCH(tblStockPorUbicacion[[#This Row],[Ubicacion Id]],tblUbicaciones[Id],0)),"")</f>
        <v>Estante Aceites Norte</v>
      </c>
      <c r="G8" s="18">
        <v>46189.911111111112</v>
      </c>
    </row>
    <row r="9" spans="1:7" x14ac:dyDescent="0.2">
      <c r="A9" s="4">
        <v>8</v>
      </c>
      <c r="B9" s="19">
        <v>18</v>
      </c>
      <c r="C9" s="19">
        <v>8</v>
      </c>
      <c r="D9" t="str">
        <f>IFERROR(INDEX(tblProductos[Nombre],MATCH(tblStockPorUbicacion[[#This Row],[Producto Id]],tblProductos[Id],0)),"")</f>
        <v>Shell Rotella T6 15W-40 Diesel 4L</v>
      </c>
      <c r="E9" s="19">
        <v>5</v>
      </c>
      <c r="F9" t="str">
        <f>IFERROR(INDEX(tblUbicaciones[Nombre],MATCH(tblStockPorUbicacion[[#This Row],[Ubicacion Id]],tblUbicaciones[Id],0)),"")</f>
        <v>Estante Aceites Sur</v>
      </c>
      <c r="G9" s="18">
        <v>46189.911111111112</v>
      </c>
    </row>
    <row r="10" spans="1:7" x14ac:dyDescent="0.2">
      <c r="A10" s="4">
        <v>9</v>
      </c>
      <c r="B10" s="19">
        <v>40</v>
      </c>
      <c r="C10" s="19">
        <v>9</v>
      </c>
      <c r="D10" t="str">
        <f>IFERROR(INDEX(tblProductos[Nombre],MATCH(tblStockPorUbicacion[[#This Row],[Producto Id]],tblProductos[Id],0)),"")</f>
        <v>Mobil 1 ESP Formula 5W-40 1L</v>
      </c>
      <c r="E10" s="19">
        <v>4</v>
      </c>
      <c r="F10" t="str">
        <f>IFERROR(INDEX(tblUbicaciones[Nombre],MATCH(tblStockPorUbicacion[[#This Row],[Ubicacion Id]],tblUbicaciones[Id],0)),"")</f>
        <v>Estante Aceites Norte</v>
      </c>
      <c r="G10" s="18">
        <v>46189.911111111112</v>
      </c>
    </row>
    <row r="11" spans="1:7" x14ac:dyDescent="0.2">
      <c r="A11" s="4">
        <v>10</v>
      </c>
      <c r="B11" s="19">
        <v>14</v>
      </c>
      <c r="C11" s="19">
        <v>10</v>
      </c>
      <c r="D11" t="str">
        <f>IFERROR(INDEX(tblProductos[Nombre],MATCH(tblStockPorUbicacion[[#This Row],[Producto Id]],tblProductos[Id],0)),"")</f>
        <v>Castrol Transmax Dexron VI ATF 1L</v>
      </c>
      <c r="E11" s="19">
        <v>5</v>
      </c>
      <c r="F11" t="str">
        <f>IFERROR(INDEX(tblUbicaciones[Nombre],MATCH(tblStockPorUbicacion[[#This Row],[Ubicacion Id]],tblUbicaciones[Id],0)),"")</f>
        <v>Estante Aceites Sur</v>
      </c>
      <c r="G11" s="18">
        <v>46189.911111111112</v>
      </c>
    </row>
    <row r="12" spans="1:7" x14ac:dyDescent="0.2">
      <c r="A12" s="4">
        <v>11</v>
      </c>
      <c r="B12" s="19">
        <v>50</v>
      </c>
      <c r="C12" s="19">
        <v>11</v>
      </c>
      <c r="D12" t="str">
        <f>IFERROR(INDEX(tblProductos[Nombre],MATCH(tblStockPorUbicacion[[#This Row],[Producto Id]],tblProductos[Id],0)),"")</f>
        <v>Filtro de aceite Mobil M1-110</v>
      </c>
      <c r="E12" s="19">
        <v>6</v>
      </c>
      <c r="F12" t="str">
        <f>IFERROR(INDEX(tblUbicaciones[Nombre],MATCH(tblStockPorUbicacion[[#This Row],[Ubicacion Id]],tblUbicaciones[Id],0)),"")</f>
        <v>Mostrador</v>
      </c>
      <c r="G12" s="18">
        <v>46189.911111111112</v>
      </c>
    </row>
    <row r="13" spans="1:7" x14ac:dyDescent="0.2">
      <c r="A13" s="6" t="s">
        <v>163</v>
      </c>
    </row>
  </sheetData>
  <sheetProtection sheet="1" scenarios="1" insertRows="0" deleteRows="0" sort="0" autoFilter="0"/>
  <dataValidations count="2">
    <dataValidation type="list" allowBlank="1" showInputMessage="1" showErrorMessage="1" errorTitle="Unknown reference" error="This value must match an existing Producto." promptTitle="Producto Id" prompt="Pick an existing Producto. The lookup column shows its name." sqref="C2:C512" xr:uid="{00000000-0002-0000-0300-000000000000}">
      <formula1>dv_stock_por_ubicacion_producto_id</formula1>
    </dataValidation>
    <dataValidation type="list" allowBlank="1" showInputMessage="1" showErrorMessage="1" errorTitle="Unknown reference" error="This value must match an existing Ubicacion." promptTitle="Ubicacion Id" prompt="Pick an existing Ubicacion. The lookup column shows its name." sqref="E2:E512" xr:uid="{00000000-0002-0000-0300-000001000000}">
      <formula1>dv_stock_por_ubicacion_ubicacion_id</formula1>
    </dataValidation>
  </dataValidations>
  <hyperlinks>
    <hyperlink ref="A13" location="Home!A1" display="Back to Home" xr:uid="{00000000-0004-0000-0300-000000000000}"/>
  </hyperlinks>
  <pageMargins left="0.35" right="0.35" top="0.6" bottom="0.6" header="0.25" footer="0.25"/>
  <pageSetup paperSize="9" fitToHeight="0" orientation="landscape"/>
  <headerFooter>
    <oddFooter>&amp;LLlantera Aceites Inventario&amp;RPage &amp;P of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2" r:id="rId3" name="sfBtnNew">
              <controlPr defaultSize="0" print="0" autoFill="0" autoPict="0" macro="[0]!modEngine.NewRecord">
                <anchor moveWithCells="1" sizeWithCells="1">
                  <from>
                    <xdr:col>7</xdr:col>
                    <xdr:colOff>152400</xdr:colOff>
                    <xdr:row>0</xdr:row>
                    <xdr:rowOff>50800</xdr:rowOff>
                  </from>
                  <to>
                    <xdr:col>8</xdr:col>
                    <xdr:colOff>495300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4" name="sfBtnEdit">
              <controlPr defaultSize="0" print="0" autoFill="0" autoPict="0" macro="[0]!modEngine.EditRecord">
                <anchor moveWithCells="1" sizeWithCells="1">
                  <from>
                    <xdr:col>8</xdr:col>
                    <xdr:colOff>571500</xdr:colOff>
                    <xdr:row>0</xdr:row>
                    <xdr:rowOff>50800</xdr:rowOff>
                  </from>
                  <to>
                    <xdr:col>10</xdr:col>
                    <xdr:colOff>241300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sfBtnDelete">
              <controlPr defaultSize="0" print="0" autoFill="0" autoPict="0" macro="[0]!modEngine.DeleteSelectedRecord">
                <anchor moveWithCells="1" sizeWithCells="1">
                  <from>
                    <xdr:col>10</xdr:col>
                    <xdr:colOff>317500</xdr:colOff>
                    <xdr:row>0</xdr:row>
                    <xdr:rowOff>50800</xdr:rowOff>
                  </from>
                  <to>
                    <xdr:col>11</xdr:col>
                    <xdr:colOff>660400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6366F1"/>
    <pageSetUpPr fitToPage="1"/>
  </sheetPr>
  <dimension ref="A1:Q13"/>
  <sheetViews>
    <sheetView zoomScale="90" zoomScaleNormal="90"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2" width="12" customWidth="1"/>
    <col min="3" max="3" width="18" customWidth="1"/>
    <col min="4" max="4" width="17" customWidth="1"/>
    <col min="5" max="5" width="22" customWidth="1"/>
    <col min="6" max="6" width="17" customWidth="1"/>
    <col min="7" max="8" width="22" customWidth="1"/>
    <col min="9" max="9" width="15" customWidth="1"/>
    <col min="10" max="10" width="24" customWidth="1"/>
    <col min="11" max="12" width="22" customWidth="1"/>
    <col min="13" max="14" width="24" customWidth="1"/>
    <col min="15" max="15" width="16" customWidth="1"/>
    <col min="16" max="16" width="24" customWidth="1"/>
    <col min="17" max="17" width="22" customWidth="1"/>
  </cols>
  <sheetData>
    <row r="1" spans="1:17" ht="20" customHeight="1" x14ac:dyDescent="0.2">
      <c r="A1" s="1" t="s">
        <v>70</v>
      </c>
      <c r="B1" s="1" t="s">
        <v>164</v>
      </c>
      <c r="C1" s="1" t="s">
        <v>170</v>
      </c>
      <c r="D1" s="1" t="s">
        <v>171</v>
      </c>
      <c r="E1" s="1" t="s">
        <v>94</v>
      </c>
      <c r="F1" s="1" t="s">
        <v>172</v>
      </c>
      <c r="G1" s="1" t="s">
        <v>101</v>
      </c>
      <c r="H1" s="1" t="s">
        <v>104</v>
      </c>
      <c r="I1" s="1" t="s">
        <v>165</v>
      </c>
      <c r="J1" s="1" t="s">
        <v>166</v>
      </c>
      <c r="K1" s="1" t="s">
        <v>173</v>
      </c>
      <c r="L1" s="1" t="s">
        <v>174</v>
      </c>
      <c r="M1" s="1" t="s">
        <v>175</v>
      </c>
      <c r="N1" s="1" t="s">
        <v>176</v>
      </c>
      <c r="O1" s="1" t="s">
        <v>167</v>
      </c>
      <c r="P1" s="1" t="s">
        <v>168</v>
      </c>
      <c r="Q1" s="1" t="s">
        <v>177</v>
      </c>
    </row>
    <row r="2" spans="1:17" x14ac:dyDescent="0.2">
      <c r="A2" s="4">
        <v>1</v>
      </c>
      <c r="B2" s="20">
        <v>12</v>
      </c>
      <c r="C2" s="20">
        <v>1850</v>
      </c>
      <c r="D2" s="18">
        <v>46189.911111111112</v>
      </c>
      <c r="E2" s="16" t="s">
        <v>110</v>
      </c>
      <c r="F2" s="18">
        <v>46174.395833333336</v>
      </c>
      <c r="G2" s="16"/>
      <c r="H2" s="16" t="s">
        <v>178</v>
      </c>
      <c r="I2" s="19">
        <v>1</v>
      </c>
      <c r="J2" t="str">
        <f>IFERROR(INDEX(tblProductos[Nombre],MATCH(tblTransacciones[[#This Row],[Producto Id]],tblProductos[Id],0)),"")</f>
        <v>Michelin Primacy 4 205/55R16 91V</v>
      </c>
      <c r="K2" s="16" t="s">
        <v>179</v>
      </c>
      <c r="L2" s="16" t="s">
        <v>180</v>
      </c>
      <c r="M2" s="19"/>
      <c r="N2" t="str">
        <f>IFERROR(INDEX(tblUbicaciones[Nombre],MATCH(tblTransacciones[[#This Row],[Ubicacion Destino Id]],tblUbicaciones[Id],0)),"")</f>
        <v/>
      </c>
      <c r="O2" s="19">
        <v>1</v>
      </c>
      <c r="P2" t="str">
        <f>IFERROR(INDEX(tblUbicaciones[Nombre],MATCH(tblTransacciones[[#This Row],[Ubicacion Id]],tblUbicaciones[Id],0)),"")</f>
        <v>Rack Llantas A-01</v>
      </c>
      <c r="Q2" s="16" t="s">
        <v>181</v>
      </c>
    </row>
    <row r="3" spans="1:17" x14ac:dyDescent="0.2">
      <c r="A3" s="4">
        <v>2</v>
      </c>
      <c r="B3" s="20">
        <v>8</v>
      </c>
      <c r="C3" s="20">
        <v>2100</v>
      </c>
      <c r="D3" s="18">
        <v>46189.911111111112</v>
      </c>
      <c r="E3" s="16" t="s">
        <v>115</v>
      </c>
      <c r="F3" s="18">
        <v>46174.416666666664</v>
      </c>
      <c r="G3" s="16"/>
      <c r="H3" s="16"/>
      <c r="I3" s="19">
        <v>2</v>
      </c>
      <c r="J3" t="str">
        <f>IFERROR(INDEX(tblProductos[Nombre],MATCH(tblTransacciones[[#This Row],[Producto Id]],tblProductos[Id],0)),"")</f>
        <v>Bridgestone Turanza 215/55R17 94V</v>
      </c>
      <c r="K3" s="16" t="s">
        <v>179</v>
      </c>
      <c r="L3" s="16" t="s">
        <v>180</v>
      </c>
      <c r="M3" s="19"/>
      <c r="N3" t="str">
        <f>IFERROR(INDEX(tblUbicaciones[Nombre],MATCH(tblTransacciones[[#This Row],[Ubicacion Destino Id]],tblUbicaciones[Id],0)),"")</f>
        <v/>
      </c>
      <c r="O3" s="19">
        <v>1</v>
      </c>
      <c r="P3" t="str">
        <f>IFERROR(INDEX(tblUbicaciones[Nombre],MATCH(tblTransacciones[[#This Row],[Ubicacion Id]],tblUbicaciones[Id],0)),"")</f>
        <v>Rack Llantas A-01</v>
      </c>
      <c r="Q3" s="16" t="s">
        <v>181</v>
      </c>
    </row>
    <row r="4" spans="1:17" x14ac:dyDescent="0.2">
      <c r="A4" s="4">
        <v>3</v>
      </c>
      <c r="B4" s="20">
        <v>6</v>
      </c>
      <c r="C4" s="20">
        <v>2450</v>
      </c>
      <c r="D4" s="18">
        <v>46189.911111111112</v>
      </c>
      <c r="E4" s="16" t="s">
        <v>118</v>
      </c>
      <c r="F4" s="18">
        <v>46175.34375</v>
      </c>
      <c r="G4" s="16"/>
      <c r="H4" s="16"/>
      <c r="I4" s="19">
        <v>3</v>
      </c>
      <c r="J4" t="str">
        <f>IFERROR(INDEX(tblProductos[Nombre],MATCH(tblTransacciones[[#This Row],[Producto Id]],tblProductos[Id],0)),"")</f>
        <v>Pirelli Cinturato 225/45R18 95W</v>
      </c>
      <c r="K4" s="16" t="s">
        <v>179</v>
      </c>
      <c r="L4" s="16" t="s">
        <v>180</v>
      </c>
      <c r="M4" s="19"/>
      <c r="N4" t="str">
        <f>IFERROR(INDEX(tblUbicaciones[Nombre],MATCH(tblTransacciones[[#This Row],[Ubicacion Destino Id]],tblUbicaciones[Id],0)),"")</f>
        <v/>
      </c>
      <c r="O4" s="19">
        <v>1</v>
      </c>
      <c r="P4" t="str">
        <f>IFERROR(INDEX(tblUbicaciones[Nombre],MATCH(tblTransacciones[[#This Row],[Ubicacion Id]],tblUbicaciones[Id],0)),"")</f>
        <v>Rack Llantas A-01</v>
      </c>
      <c r="Q4" s="16" t="s">
        <v>181</v>
      </c>
    </row>
    <row r="5" spans="1:17" x14ac:dyDescent="0.2">
      <c r="A5" s="4">
        <v>4</v>
      </c>
      <c r="B5" s="20">
        <v>35</v>
      </c>
      <c r="C5" s="20">
        <v>950</v>
      </c>
      <c r="D5" s="18">
        <v>46189.911111111112</v>
      </c>
      <c r="E5" s="16"/>
      <c r="F5" s="18">
        <v>46175.489583333336</v>
      </c>
      <c r="G5" s="16" t="s">
        <v>134</v>
      </c>
      <c r="H5" s="16" t="s">
        <v>182</v>
      </c>
      <c r="I5" s="19">
        <v>6</v>
      </c>
      <c r="J5" t="str">
        <f>IFERROR(INDEX(tblProductos[Nombre],MATCH(tblTransacciones[[#This Row],[Producto Id]],tblProductos[Id],0)),"")</f>
        <v>Mobil 1 Full Synthetic 5W-30 5L</v>
      </c>
      <c r="K5" s="16" t="s">
        <v>183</v>
      </c>
      <c r="L5" s="16" t="s">
        <v>180</v>
      </c>
      <c r="M5" s="19"/>
      <c r="N5" t="str">
        <f>IFERROR(INDEX(tblUbicaciones[Nombre],MATCH(tblTransacciones[[#This Row],[Ubicacion Destino Id]],tblUbicaciones[Id],0)),"")</f>
        <v/>
      </c>
      <c r="O5" s="19">
        <v>4</v>
      </c>
      <c r="P5" t="str">
        <f>IFERROR(INDEX(tblUbicaciones[Nombre],MATCH(tblTransacciones[[#This Row],[Ubicacion Id]],tblUbicaciones[Id],0)),"")</f>
        <v>Estante Aceites Norte</v>
      </c>
      <c r="Q5" s="16" t="s">
        <v>181</v>
      </c>
    </row>
    <row r="6" spans="1:17" x14ac:dyDescent="0.2">
      <c r="A6" s="4">
        <v>5</v>
      </c>
      <c r="B6" s="20">
        <v>22</v>
      </c>
      <c r="C6" s="20">
        <v>620</v>
      </c>
      <c r="D6" s="18">
        <v>46189.911111111112</v>
      </c>
      <c r="E6" s="16"/>
      <c r="F6" s="18">
        <v>46176.597222222219</v>
      </c>
      <c r="G6" s="16" t="s">
        <v>140</v>
      </c>
      <c r="H6" s="16"/>
      <c r="I6" s="19">
        <v>7</v>
      </c>
      <c r="J6" t="str">
        <f>IFERROR(INDEX(tblProductos[Nombre],MATCH(tblTransacciones[[#This Row],[Producto Id]],tblProductos[Id],0)),"")</f>
        <v>Castrol GTX 10W-30 4L</v>
      </c>
      <c r="K6" s="16" t="s">
        <v>183</v>
      </c>
      <c r="L6" s="16" t="s">
        <v>180</v>
      </c>
      <c r="M6" s="19"/>
      <c r="N6" t="str">
        <f>IFERROR(INDEX(tblUbicaciones[Nombre],MATCH(tblTransacciones[[#This Row],[Ubicacion Destino Id]],tblUbicaciones[Id],0)),"")</f>
        <v/>
      </c>
      <c r="O6" s="19">
        <v>4</v>
      </c>
      <c r="P6" t="str">
        <f>IFERROR(INDEX(tblUbicaciones[Nombre],MATCH(tblTransacciones[[#This Row],[Ubicacion Id]],tblUbicaciones[Id],0)),"")</f>
        <v>Estante Aceites Norte</v>
      </c>
      <c r="Q6" s="16" t="s">
        <v>181</v>
      </c>
    </row>
    <row r="7" spans="1:17" x14ac:dyDescent="0.2">
      <c r="A7" s="4">
        <v>6</v>
      </c>
      <c r="B7" s="20">
        <v>2</v>
      </c>
      <c r="C7" s="20">
        <v>1850</v>
      </c>
      <c r="D7" s="18">
        <v>46189.911111111112</v>
      </c>
      <c r="E7" s="16" t="s">
        <v>110</v>
      </c>
      <c r="F7" s="18">
        <v>46183.5</v>
      </c>
      <c r="G7" s="16"/>
      <c r="H7" s="16" t="s">
        <v>184</v>
      </c>
      <c r="I7" s="19">
        <v>1</v>
      </c>
      <c r="J7" t="str">
        <f>IFERROR(INDEX(tblProductos[Nombre],MATCH(tblTransacciones[[#This Row],[Producto Id]],tblProductos[Id],0)),"")</f>
        <v>Michelin Primacy 4 205/55R16 91V</v>
      </c>
      <c r="K7" s="16" t="s">
        <v>185</v>
      </c>
      <c r="L7" s="16" t="s">
        <v>186</v>
      </c>
      <c r="M7" s="19"/>
      <c r="N7" t="str">
        <f>IFERROR(INDEX(tblUbicaciones[Nombre],MATCH(tblTransacciones[[#This Row],[Ubicacion Destino Id]],tblUbicaciones[Id],0)),"")</f>
        <v/>
      </c>
      <c r="O7" s="19">
        <v>1</v>
      </c>
      <c r="P7" t="str">
        <f>IFERROR(INDEX(tblUbicaciones[Nombre],MATCH(tblTransacciones[[#This Row],[Ubicacion Id]],tblUbicaciones[Id],0)),"")</f>
        <v>Rack Llantas A-01</v>
      </c>
      <c r="Q7" s="16" t="s">
        <v>187</v>
      </c>
    </row>
    <row r="8" spans="1:17" x14ac:dyDescent="0.2">
      <c r="A8" s="4">
        <v>7</v>
      </c>
      <c r="B8" s="20">
        <v>1</v>
      </c>
      <c r="C8" s="20">
        <v>950</v>
      </c>
      <c r="D8" s="18">
        <v>46189.911111111112</v>
      </c>
      <c r="E8" s="16"/>
      <c r="F8" s="18">
        <v>46184.645833333336</v>
      </c>
      <c r="G8" s="16" t="s">
        <v>134</v>
      </c>
      <c r="H8" s="16" t="s">
        <v>188</v>
      </c>
      <c r="I8" s="19">
        <v>6</v>
      </c>
      <c r="J8" t="str">
        <f>IFERROR(INDEX(tblProductos[Nombre],MATCH(tblTransacciones[[#This Row],[Producto Id]],tblProductos[Id],0)),"")</f>
        <v>Mobil 1 Full Synthetic 5W-30 5L</v>
      </c>
      <c r="K8" s="16" t="s">
        <v>189</v>
      </c>
      <c r="L8" s="16" t="s">
        <v>186</v>
      </c>
      <c r="M8" s="19"/>
      <c r="N8" t="str">
        <f>IFERROR(INDEX(tblUbicaciones[Nombre],MATCH(tblTransacciones[[#This Row],[Ubicacion Destino Id]],tblUbicaciones[Id],0)),"")</f>
        <v/>
      </c>
      <c r="O8" s="19">
        <v>4</v>
      </c>
      <c r="P8" t="str">
        <f>IFERROR(INDEX(tblUbicaciones[Nombre],MATCH(tblTransacciones[[#This Row],[Ubicacion Id]],tblUbicaciones[Id],0)),"")</f>
        <v>Estante Aceites Norte</v>
      </c>
      <c r="Q8" s="16" t="s">
        <v>190</v>
      </c>
    </row>
    <row r="9" spans="1:17" x14ac:dyDescent="0.2">
      <c r="A9" s="4">
        <v>8</v>
      </c>
      <c r="B9" s="20">
        <v>4</v>
      </c>
      <c r="C9" s="20">
        <v>2100</v>
      </c>
      <c r="D9" s="18">
        <v>46189.911111111112</v>
      </c>
      <c r="E9" s="16" t="s">
        <v>115</v>
      </c>
      <c r="F9" s="18">
        <v>46185.375</v>
      </c>
      <c r="G9" s="16"/>
      <c r="H9" s="16" t="s">
        <v>191</v>
      </c>
      <c r="I9" s="19">
        <v>2</v>
      </c>
      <c r="J9" t="str">
        <f>IFERROR(INDEX(tblProductos[Nombre],MATCH(tblTransacciones[[#This Row],[Producto Id]],tblProductos[Id],0)),"")</f>
        <v>Bridgestone Turanza 215/55R17 94V</v>
      </c>
      <c r="K9" s="16" t="s">
        <v>192</v>
      </c>
      <c r="L9" s="16" t="s">
        <v>186</v>
      </c>
      <c r="M9" s="19"/>
      <c r="N9" t="str">
        <f>IFERROR(INDEX(tblUbicaciones[Nombre],MATCH(tblTransacciones[[#This Row],[Ubicacion Destino Id]],tblUbicaciones[Id],0)),"")</f>
        <v/>
      </c>
      <c r="O9" s="19">
        <v>1</v>
      </c>
      <c r="P9" t="str">
        <f>IFERROR(INDEX(tblUbicaciones[Nombre],MATCH(tblTransacciones[[#This Row],[Ubicacion Id]],tblUbicaciones[Id],0)),"")</f>
        <v>Rack Llantas A-01</v>
      </c>
      <c r="Q9" s="16" t="s">
        <v>187</v>
      </c>
    </row>
    <row r="10" spans="1:17" x14ac:dyDescent="0.2">
      <c r="A10" s="4">
        <v>9</v>
      </c>
      <c r="B10" s="20">
        <v>2</v>
      </c>
      <c r="C10" s="20">
        <v>240</v>
      </c>
      <c r="D10" s="18">
        <v>46189.911111111112</v>
      </c>
      <c r="E10" s="16"/>
      <c r="F10" s="18">
        <v>46186.666666666664</v>
      </c>
      <c r="G10" s="16" t="s">
        <v>151</v>
      </c>
      <c r="H10" s="16" t="s">
        <v>193</v>
      </c>
      <c r="I10" s="19">
        <v>9</v>
      </c>
      <c r="J10" t="str">
        <f>IFERROR(INDEX(tblProductos[Nombre],MATCH(tblTransacciones[[#This Row],[Producto Id]],tblProductos[Id],0)),"")</f>
        <v>Mobil 1 ESP Formula 5W-40 1L</v>
      </c>
      <c r="K10" s="16" t="s">
        <v>194</v>
      </c>
      <c r="L10" s="16" t="s">
        <v>186</v>
      </c>
      <c r="M10" s="19"/>
      <c r="N10" t="str">
        <f>IFERROR(INDEX(tblUbicaciones[Nombre],MATCH(tblTransacciones[[#This Row],[Ubicacion Destino Id]],tblUbicaciones[Id],0)),"")</f>
        <v/>
      </c>
      <c r="O10" s="19">
        <v>4</v>
      </c>
      <c r="P10" t="str">
        <f>IFERROR(INDEX(tblUbicaciones[Nombre],MATCH(tblTransacciones[[#This Row],[Ubicacion Id]],tblUbicaciones[Id],0)),"")</f>
        <v>Estante Aceites Norte</v>
      </c>
      <c r="Q10" s="16" t="s">
        <v>195</v>
      </c>
    </row>
    <row r="11" spans="1:17" x14ac:dyDescent="0.2">
      <c r="A11" s="4">
        <v>10</v>
      </c>
      <c r="B11" s="20">
        <v>4</v>
      </c>
      <c r="C11" s="20">
        <v>95</v>
      </c>
      <c r="D11" s="18">
        <v>46189.911111111112</v>
      </c>
      <c r="E11" s="16"/>
      <c r="F11" s="18">
        <v>46187.458333333336</v>
      </c>
      <c r="G11" s="16" t="s">
        <v>161</v>
      </c>
      <c r="H11" s="16" t="s">
        <v>196</v>
      </c>
      <c r="I11" s="19">
        <v>11</v>
      </c>
      <c r="J11" t="str">
        <f>IFERROR(INDEX(tblProductos[Nombre],MATCH(tblTransacciones[[#This Row],[Producto Id]],tblProductos[Id],0)),"")</f>
        <v>Filtro de aceite Mobil M1-110</v>
      </c>
      <c r="K11" s="16" t="s">
        <v>197</v>
      </c>
      <c r="L11" s="16" t="s">
        <v>186</v>
      </c>
      <c r="M11" s="19"/>
      <c r="N11" t="str">
        <f>IFERROR(INDEX(tblUbicaciones[Nombre],MATCH(tblTransacciones[[#This Row],[Ubicacion Destino Id]],tblUbicaciones[Id],0)),"")</f>
        <v/>
      </c>
      <c r="O11" s="19">
        <v>6</v>
      </c>
      <c r="P11" t="str">
        <f>IFERROR(INDEX(tblUbicaciones[Nombre],MATCH(tblTransacciones[[#This Row],[Ubicacion Id]],tblUbicaciones[Id],0)),"")</f>
        <v>Mostrador</v>
      </c>
      <c r="Q11" s="16" t="s">
        <v>190</v>
      </c>
    </row>
    <row r="12" spans="1:17" x14ac:dyDescent="0.2">
      <c r="A12" s="4">
        <v>11</v>
      </c>
      <c r="B12" s="20">
        <v>2</v>
      </c>
      <c r="C12" s="20">
        <v>280</v>
      </c>
      <c r="D12" s="18">
        <v>46189.911111111112</v>
      </c>
      <c r="E12" s="16"/>
      <c r="F12" s="18">
        <v>46187.729166666664</v>
      </c>
      <c r="G12" s="16" t="s">
        <v>157</v>
      </c>
      <c r="H12" s="16" t="s">
        <v>198</v>
      </c>
      <c r="I12" s="19">
        <v>10</v>
      </c>
      <c r="J12" t="str">
        <f>IFERROR(INDEX(tblProductos[Nombre],MATCH(tblTransacciones[[#This Row],[Producto Id]],tblProductos[Id],0)),"")</f>
        <v>Castrol Transmax Dexron VI ATF 1L</v>
      </c>
      <c r="K12" s="16" t="s">
        <v>199</v>
      </c>
      <c r="L12" s="16" t="s">
        <v>200</v>
      </c>
      <c r="M12" s="19"/>
      <c r="N12" t="str">
        <f>IFERROR(INDEX(tblUbicaciones[Nombre],MATCH(tblTransacciones[[#This Row],[Ubicacion Destino Id]],tblUbicaciones[Id],0)),"")</f>
        <v/>
      </c>
      <c r="O12" s="19">
        <v>5</v>
      </c>
      <c r="P12" t="str">
        <f>IFERROR(INDEX(tblUbicaciones[Nombre],MATCH(tblTransacciones[[#This Row],[Ubicacion Id]],tblUbicaciones[Id],0)),"")</f>
        <v>Estante Aceites Sur</v>
      </c>
      <c r="Q12" s="16" t="s">
        <v>181</v>
      </c>
    </row>
    <row r="13" spans="1:17" x14ac:dyDescent="0.2">
      <c r="A13" s="6" t="s">
        <v>163</v>
      </c>
    </row>
  </sheetData>
  <sheetProtection sheet="1" scenarios="1" insertRows="0" deleteRows="0" sort="0" autoFilter="0"/>
  <dataValidations count="3">
    <dataValidation type="list" allowBlank="1" showInputMessage="1" showErrorMessage="1" errorTitle="Unknown reference" error="This value must match an existing Producto." promptTitle="Producto Id" prompt="Pick an existing Producto. The lookup column shows its name." sqref="I2:I512" xr:uid="{00000000-0002-0000-0400-000000000000}">
      <formula1>dv_transacciones_producto_id</formula1>
    </dataValidation>
    <dataValidation type="list" allowBlank="1" showInputMessage="1" showErrorMessage="1" errorTitle="Unknown reference" error="This value must match an existing Ubicacion." promptTitle="Ubicacion Destino Id" prompt="Pick an existing Ubicacion. The lookup column shows its name." sqref="M2:M512" xr:uid="{00000000-0002-0000-0400-000001000000}">
      <formula1>dv_transacciones_ubicacion_destino_id</formula1>
    </dataValidation>
    <dataValidation type="list" allowBlank="1" showInputMessage="1" showErrorMessage="1" errorTitle="Unknown reference" error="This value must match an existing Ubicacion." promptTitle="Ubicacion Id" prompt="Pick an existing Ubicacion. The lookup column shows its name." sqref="O2:O512" xr:uid="{00000000-0002-0000-0400-000002000000}">
      <formula1>dv_transacciones_ubicacion_id</formula1>
    </dataValidation>
  </dataValidations>
  <hyperlinks>
    <hyperlink ref="A13" location="Home!A1" display="Back to Home" xr:uid="{00000000-0004-0000-0400-000000000000}"/>
  </hyperlinks>
  <pageMargins left="0.35" right="0.35" top="0.6" bottom="0.6" header="0.25" footer="0.25"/>
  <pageSetup paperSize="9" fitToHeight="0" orientation="landscape"/>
  <headerFooter>
    <oddFooter>&amp;LLlantera Aceites Inventario&amp;RPage &amp;P of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8" r:id="rId3" name="sfBtnNew">
              <controlPr defaultSize="0" print="0" autoFill="0" autoPict="0" macro="[0]!modEngine.NewRecord">
                <anchor moveWithCells="1" sizeWithCells="1">
                  <from>
                    <xdr:col>17</xdr:col>
                    <xdr:colOff>152400</xdr:colOff>
                    <xdr:row>0</xdr:row>
                    <xdr:rowOff>50800</xdr:rowOff>
                  </from>
                  <to>
                    <xdr:col>18</xdr:col>
                    <xdr:colOff>495300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4" name="sfBtnEdit">
              <controlPr defaultSize="0" print="0" autoFill="0" autoPict="0" macro="[0]!modEngine.EditRecord">
                <anchor moveWithCells="1" sizeWithCells="1">
                  <from>
                    <xdr:col>18</xdr:col>
                    <xdr:colOff>571500</xdr:colOff>
                    <xdr:row>0</xdr:row>
                    <xdr:rowOff>50800</xdr:rowOff>
                  </from>
                  <to>
                    <xdr:col>20</xdr:col>
                    <xdr:colOff>241300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5" name="sfBtnDelete">
              <controlPr defaultSize="0" print="0" autoFill="0" autoPict="0" macro="[0]!modEngine.DeleteSelectedRecord">
                <anchor moveWithCells="1" sizeWithCells="1">
                  <from>
                    <xdr:col>20</xdr:col>
                    <xdr:colOff>317500</xdr:colOff>
                    <xdr:row>0</xdr:row>
                    <xdr:rowOff>50800</xdr:rowOff>
                  </from>
                  <to>
                    <xdr:col>21</xdr:col>
                    <xdr:colOff>660400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6366F1"/>
    <pageSetUpPr fitToPage="1"/>
  </sheetPr>
  <dimension ref="A1:Q7"/>
  <sheetViews>
    <sheetView zoomScale="90" zoomScaleNormal="90"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2" customWidth="1"/>
    <col min="2" max="2" width="14" customWidth="1"/>
    <col min="3" max="3" width="24" customWidth="1"/>
    <col min="4" max="4" width="17" customWidth="1"/>
    <col min="5" max="5" width="22" customWidth="1"/>
    <col min="6" max="6" width="12" customWidth="1"/>
    <col min="7" max="7" width="22" customWidth="1"/>
    <col min="8" max="8" width="13" customWidth="1"/>
    <col min="9" max="9" width="15" customWidth="1"/>
    <col min="10" max="10" width="22" customWidth="1"/>
    <col min="11" max="11" width="12" customWidth="1"/>
    <col min="12" max="12" width="22" customWidth="1"/>
    <col min="13" max="13" width="12" customWidth="1"/>
    <col min="14" max="14" width="22" customWidth="1"/>
    <col min="15" max="15" width="17" customWidth="1"/>
    <col min="16" max="16" width="15" customWidth="1"/>
    <col min="17" max="17" width="24" customWidth="1"/>
  </cols>
  <sheetData>
    <row r="1" spans="1:17" ht="20" customHeight="1" x14ac:dyDescent="0.2">
      <c r="A1" s="1" t="s">
        <v>70</v>
      </c>
      <c r="B1" s="1" t="s">
        <v>201</v>
      </c>
      <c r="C1" s="1" t="s">
        <v>202</v>
      </c>
      <c r="D1" s="1" t="s">
        <v>171</v>
      </c>
      <c r="E1" s="1" t="s">
        <v>203</v>
      </c>
      <c r="F1" s="1" t="s">
        <v>172</v>
      </c>
      <c r="G1" s="1" t="s">
        <v>204</v>
      </c>
      <c r="H1" s="1" t="s">
        <v>205</v>
      </c>
      <c r="I1" s="1" t="s">
        <v>206</v>
      </c>
      <c r="J1" s="1" t="s">
        <v>104</v>
      </c>
      <c r="K1" s="1" t="s">
        <v>207</v>
      </c>
      <c r="L1" s="1" t="s">
        <v>208</v>
      </c>
      <c r="M1" s="1" t="s">
        <v>209</v>
      </c>
      <c r="N1" s="1" t="s">
        <v>210</v>
      </c>
      <c r="O1" s="1" t="s">
        <v>169</v>
      </c>
      <c r="P1" s="1" t="s">
        <v>211</v>
      </c>
      <c r="Q1" s="1" t="s">
        <v>212</v>
      </c>
    </row>
    <row r="2" spans="1:17" x14ac:dyDescent="0.2">
      <c r="A2" s="4">
        <v>1</v>
      </c>
      <c r="B2" s="19">
        <v>1</v>
      </c>
      <c r="C2" t="str">
        <f>IFERROR(INDEX(tblClientes[Nombre Completo],MATCH(tblOrdenesServicio[[#This Row],[Cliente Id]],tblClientes[Id],0)),"")</f>
        <v>Juan Perez Lopez</v>
      </c>
      <c r="D2" s="18">
        <v>46189.911111111112</v>
      </c>
      <c r="E2" s="16" t="s">
        <v>213</v>
      </c>
      <c r="F2" s="17">
        <v>46183</v>
      </c>
      <c r="G2" s="16" t="s">
        <v>185</v>
      </c>
      <c r="H2" s="20">
        <v>784</v>
      </c>
      <c r="I2" s="19">
        <v>45230</v>
      </c>
      <c r="J2" s="16"/>
      <c r="K2" s="20">
        <v>4900</v>
      </c>
      <c r="L2" s="16" t="s">
        <v>214</v>
      </c>
      <c r="M2" s="20">
        <v>5684</v>
      </c>
      <c r="N2" s="16" t="s">
        <v>215</v>
      </c>
      <c r="O2" s="18">
        <v>46189.911111111112</v>
      </c>
      <c r="P2" s="19">
        <v>1</v>
      </c>
      <c r="Q2" t="str">
        <f>IFERROR(INDEX(tblVehiculos[Color],MATCH(tblOrdenesServicio[[#This Row],[Vehiculo Id]],tblVehiculos[Id],0)),"")</f>
        <v>Plata</v>
      </c>
    </row>
    <row r="3" spans="1:17" x14ac:dyDescent="0.2">
      <c r="A3" s="4">
        <v>2</v>
      </c>
      <c r="B3" s="19">
        <v>2</v>
      </c>
      <c r="C3" t="str">
        <f>IFERROR(INDEX(tblClientes[Nombre Completo],MATCH(tblOrdenesServicio[[#This Row],[Cliente Id]],tblClientes[Id],0)),"")</f>
        <v>Maria Gonzalez Castillo</v>
      </c>
      <c r="D3" s="18">
        <v>46189.911111111112</v>
      </c>
      <c r="E3" s="16" t="s">
        <v>213</v>
      </c>
      <c r="F3" s="17">
        <v>46184</v>
      </c>
      <c r="G3" s="16" t="s">
        <v>189</v>
      </c>
      <c r="H3" s="20">
        <v>206.4</v>
      </c>
      <c r="I3" s="19">
        <v>32100</v>
      </c>
      <c r="J3" s="16"/>
      <c r="K3" s="20">
        <v>1290</v>
      </c>
      <c r="L3" s="16" t="s">
        <v>216</v>
      </c>
      <c r="M3" s="20">
        <v>1496.4</v>
      </c>
      <c r="N3" s="16" t="s">
        <v>217</v>
      </c>
      <c r="O3" s="18">
        <v>46189.911111111112</v>
      </c>
      <c r="P3" s="19">
        <v>3</v>
      </c>
      <c r="Q3" t="str">
        <f>IFERROR(INDEX(tblVehiculos[Color],MATCH(tblOrdenesServicio[[#This Row],[Vehiculo Id]],tblVehiculos[Id],0)),"")</f>
        <v>Blanco</v>
      </c>
    </row>
    <row r="4" spans="1:17" x14ac:dyDescent="0.2">
      <c r="A4" s="4">
        <v>3</v>
      </c>
      <c r="B4" s="19">
        <v>1</v>
      </c>
      <c r="C4" t="str">
        <f>IFERROR(INDEX(tblClientes[Nombre Completo],MATCH(tblOrdenesServicio[[#This Row],[Cliente Id]],tblClientes[Id],0)),"")</f>
        <v>Juan Perez Lopez</v>
      </c>
      <c r="D4" s="18">
        <v>46189.911111111112</v>
      </c>
      <c r="E4" s="16" t="s">
        <v>213</v>
      </c>
      <c r="F4" s="17">
        <v>46185</v>
      </c>
      <c r="G4" s="16" t="s">
        <v>192</v>
      </c>
      <c r="H4" s="20">
        <v>1849.6</v>
      </c>
      <c r="I4" s="19">
        <v>45350</v>
      </c>
      <c r="J4" s="16"/>
      <c r="K4" s="20">
        <v>11560</v>
      </c>
      <c r="L4" s="16" t="s">
        <v>214</v>
      </c>
      <c r="M4" s="20">
        <v>13409.6</v>
      </c>
      <c r="N4" s="16" t="s">
        <v>218</v>
      </c>
      <c r="O4" s="18">
        <v>46189.911111111112</v>
      </c>
      <c r="P4" s="19">
        <v>1</v>
      </c>
      <c r="Q4" t="str">
        <f>IFERROR(INDEX(tblVehiculos[Color],MATCH(tblOrdenesServicio[[#This Row],[Vehiculo Id]],tblVehiculos[Id],0)),"")</f>
        <v>Plata</v>
      </c>
    </row>
    <row r="5" spans="1:17" x14ac:dyDescent="0.2">
      <c r="A5" s="4">
        <v>4</v>
      </c>
      <c r="B5" s="19">
        <v>3</v>
      </c>
      <c r="C5" t="str">
        <f>IFERROR(INDEX(tblClientes[Nombre Completo],MATCH(tblOrdenesServicio[[#This Row],[Cliente Id]],tblClientes[Id],0)),"")</f>
        <v>Transportes Rapidos SA</v>
      </c>
      <c r="D5" s="18">
        <v>46189.911111111112</v>
      </c>
      <c r="E5" s="16" t="s">
        <v>213</v>
      </c>
      <c r="F5" s="17">
        <v>46186</v>
      </c>
      <c r="G5" s="16" t="s">
        <v>194</v>
      </c>
      <c r="H5" s="20">
        <v>108.8</v>
      </c>
      <c r="I5" s="19">
        <v>156890</v>
      </c>
      <c r="J5" s="16"/>
      <c r="K5" s="20">
        <v>680</v>
      </c>
      <c r="L5" s="16" t="s">
        <v>216</v>
      </c>
      <c r="M5" s="20">
        <v>788.8</v>
      </c>
      <c r="N5" s="16" t="s">
        <v>219</v>
      </c>
      <c r="O5" s="18">
        <v>46189.911111111112</v>
      </c>
      <c r="P5" s="19">
        <v>4</v>
      </c>
      <c r="Q5" t="str">
        <f>IFERROR(INDEX(tblVehiculos[Color],MATCH(tblOrdenesServicio[[#This Row],[Vehiculo Id]],tblVehiculos[Id],0)),"")</f>
        <v>Rojo</v>
      </c>
    </row>
    <row r="6" spans="1:17" x14ac:dyDescent="0.2">
      <c r="A6" s="4">
        <v>5</v>
      </c>
      <c r="B6" s="19">
        <v>2</v>
      </c>
      <c r="C6" t="str">
        <f>IFERROR(INDEX(tblClientes[Nombre Completo],MATCH(tblOrdenesServicio[[#This Row],[Cliente Id]],tblClientes[Id],0)),"")</f>
        <v>Maria Gonzalez Castillo</v>
      </c>
      <c r="D6" s="18">
        <v>46189.911111111112</v>
      </c>
      <c r="E6" s="16" t="s">
        <v>220</v>
      </c>
      <c r="F6" s="17">
        <v>46187</v>
      </c>
      <c r="G6" s="16" t="s">
        <v>197</v>
      </c>
      <c r="H6" s="20">
        <v>92.8</v>
      </c>
      <c r="I6" s="19">
        <v>32200</v>
      </c>
      <c r="J6" s="16"/>
      <c r="K6" s="20">
        <v>580</v>
      </c>
      <c r="L6" s="16" t="s">
        <v>214</v>
      </c>
      <c r="M6" s="20">
        <v>672.8</v>
      </c>
      <c r="N6" s="16" t="s">
        <v>221</v>
      </c>
      <c r="O6" s="18">
        <v>46189.911111111112</v>
      </c>
      <c r="P6" s="19">
        <v>3</v>
      </c>
      <c r="Q6" t="str">
        <f>IFERROR(INDEX(tblVehiculos[Color],MATCH(tblOrdenesServicio[[#This Row],[Vehiculo Id]],tblVehiculos[Id],0)),"")</f>
        <v>Blanco</v>
      </c>
    </row>
    <row r="7" spans="1:17" x14ac:dyDescent="0.2">
      <c r="A7" s="6" t="s">
        <v>163</v>
      </c>
    </row>
  </sheetData>
  <sheetProtection sheet="1" scenarios="1" insertRows="0" deleteRows="0" sort="0" autoFilter="0"/>
  <dataValidations count="2">
    <dataValidation type="list" allowBlank="1" showInputMessage="1" showErrorMessage="1" errorTitle="Unknown reference" error="This value must match an existing Cliente." promptTitle="Cliente Id" prompt="Pick an existing Cliente. The lookup column shows its name." sqref="B2:B506" xr:uid="{00000000-0002-0000-0500-000000000000}">
      <formula1>dv_ordenes_servicio_cliente_id</formula1>
    </dataValidation>
    <dataValidation type="list" allowBlank="1" showInputMessage="1" showErrorMessage="1" errorTitle="Unknown reference" error="This value must match an existing Vehiculo." promptTitle="Vehiculo Id" prompt="Pick an existing Vehiculo. The lookup column shows its name." sqref="P2:P506" xr:uid="{00000000-0002-0000-0500-000001000000}">
      <formula1>dv_ordenes_servicio_vehiculo_id</formula1>
    </dataValidation>
  </dataValidations>
  <hyperlinks>
    <hyperlink ref="A7" location="Home!A1" display="Back to Home" xr:uid="{00000000-0004-0000-0500-000000000000}"/>
  </hyperlinks>
  <pageMargins left="0.35" right="0.35" top="0.6" bottom="0.6" header="0.25" footer="0.25"/>
  <pageSetup paperSize="9" fitToHeight="0" orientation="landscape"/>
  <headerFooter>
    <oddFooter>&amp;LLlantera Aceites Inventario&amp;RPage &amp;P of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3" name="sfBtnNew">
              <controlPr defaultSize="0" print="0" autoFill="0" autoPict="0" macro="[0]!modEngine.NewRecord">
                <anchor moveWithCells="1" sizeWithCells="1">
                  <from>
                    <xdr:col>17</xdr:col>
                    <xdr:colOff>152400</xdr:colOff>
                    <xdr:row>0</xdr:row>
                    <xdr:rowOff>50800</xdr:rowOff>
                  </from>
                  <to>
                    <xdr:col>18</xdr:col>
                    <xdr:colOff>495300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4" name="sfBtnEdit">
              <controlPr defaultSize="0" print="0" autoFill="0" autoPict="0" macro="[0]!modEngine.EditRecord">
                <anchor moveWithCells="1" sizeWithCells="1">
                  <from>
                    <xdr:col>18</xdr:col>
                    <xdr:colOff>571500</xdr:colOff>
                    <xdr:row>0</xdr:row>
                    <xdr:rowOff>50800</xdr:rowOff>
                  </from>
                  <to>
                    <xdr:col>20</xdr:col>
                    <xdr:colOff>241300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5" name="sfBtnDelete">
              <controlPr defaultSize="0" print="0" autoFill="0" autoPict="0" macro="[0]!modEngine.DeleteSelectedRecord">
                <anchor moveWithCells="1" sizeWithCells="1">
                  <from>
                    <xdr:col>20</xdr:col>
                    <xdr:colOff>317500</xdr:colOff>
                    <xdr:row>0</xdr:row>
                    <xdr:rowOff>50800</xdr:rowOff>
                  </from>
                  <to>
                    <xdr:col>21</xdr:col>
                    <xdr:colOff>660400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6366F1"/>
    <pageSetUpPr fitToPage="1"/>
  </sheetPr>
  <dimension ref="A1:I7"/>
  <sheetViews>
    <sheetView zoomScale="90" zoomScaleNormal="90"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2" width="12" customWidth="1"/>
    <col min="3" max="3" width="22" customWidth="1"/>
    <col min="4" max="4" width="21" customWidth="1"/>
    <col min="5" max="5" width="24" customWidth="1"/>
    <col min="6" max="6" width="19" customWidth="1"/>
    <col min="7" max="7" width="15" customWidth="1"/>
    <col min="8" max="8" width="24" customWidth="1"/>
    <col min="9" max="9" width="12" customWidth="1"/>
  </cols>
  <sheetData>
    <row r="1" spans="1:9" ht="20" customHeight="1" x14ac:dyDescent="0.2">
      <c r="A1" s="1" t="s">
        <v>70</v>
      </c>
      <c r="B1" s="1" t="s">
        <v>164</v>
      </c>
      <c r="C1" s="1" t="s">
        <v>104</v>
      </c>
      <c r="D1" s="1" t="s">
        <v>222</v>
      </c>
      <c r="E1" s="1" t="s">
        <v>223</v>
      </c>
      <c r="F1" s="1" t="s">
        <v>224</v>
      </c>
      <c r="G1" s="1" t="s">
        <v>165</v>
      </c>
      <c r="H1" s="1" t="s">
        <v>166</v>
      </c>
      <c r="I1" s="1" t="s">
        <v>207</v>
      </c>
    </row>
    <row r="2" spans="1:9" x14ac:dyDescent="0.2">
      <c r="A2" s="4">
        <v>1</v>
      </c>
      <c r="B2" s="20">
        <v>2</v>
      </c>
      <c r="C2" s="16"/>
      <c r="D2" s="19">
        <v>1</v>
      </c>
      <c r="E2" s="3">
        <f>IFERROR(INDEX(tblOrdenesServicio[Created At],MATCH(tblDetalleOrdenServicio[[#This Row],[Orden Servicio Id]],tblOrdenesServicio[Id],0)),"")</f>
        <v>46189.911111111112</v>
      </c>
      <c r="F2" s="20">
        <v>2450</v>
      </c>
      <c r="G2" s="19">
        <v>1</v>
      </c>
      <c r="H2" t="str">
        <f>IFERROR(INDEX(tblProductos[Nombre],MATCH(tblDetalleOrdenServicio[[#This Row],[Producto Id]],tblProductos[Id],0)),"")</f>
        <v>Michelin Primacy 4 205/55R16 91V</v>
      </c>
      <c r="I2" s="20">
        <v>4900</v>
      </c>
    </row>
    <row r="3" spans="1:9" x14ac:dyDescent="0.2">
      <c r="A3" s="4">
        <v>2</v>
      </c>
      <c r="B3" s="20">
        <v>1</v>
      </c>
      <c r="C3" s="16"/>
      <c r="D3" s="19">
        <v>2</v>
      </c>
      <c r="E3" s="3">
        <f>IFERROR(INDEX(tblOrdenesServicio[Created At],MATCH(tblDetalleOrdenServicio[[#This Row],[Orden Servicio Id]],tblOrdenesServicio[Id],0)),"")</f>
        <v>46189.911111111112</v>
      </c>
      <c r="F3" s="20">
        <v>1290</v>
      </c>
      <c r="G3" s="19">
        <v>6</v>
      </c>
      <c r="H3" t="str">
        <f>IFERROR(INDEX(tblProductos[Nombre],MATCH(tblDetalleOrdenServicio[[#This Row],[Producto Id]],tblProductos[Id],0)),"")</f>
        <v>Mobil 1 Full Synthetic 5W-30 5L</v>
      </c>
      <c r="I3" s="20">
        <v>1290</v>
      </c>
    </row>
    <row r="4" spans="1:9" x14ac:dyDescent="0.2">
      <c r="A4" s="4">
        <v>3</v>
      </c>
      <c r="B4" s="20">
        <v>4</v>
      </c>
      <c r="C4" s="16"/>
      <c r="D4" s="19">
        <v>3</v>
      </c>
      <c r="E4" s="3">
        <f>IFERROR(INDEX(tblOrdenesServicio[Created At],MATCH(tblDetalleOrdenServicio[[#This Row],[Orden Servicio Id]],tblOrdenesServicio[Id],0)),"")</f>
        <v>46189.911111111112</v>
      </c>
      <c r="F4" s="20">
        <v>2890</v>
      </c>
      <c r="G4" s="19">
        <v>2</v>
      </c>
      <c r="H4" t="str">
        <f>IFERROR(INDEX(tblProductos[Nombre],MATCH(tblDetalleOrdenServicio[[#This Row],[Producto Id]],tblProductos[Id],0)),"")</f>
        <v>Bridgestone Turanza 215/55R17 94V</v>
      </c>
      <c r="I4" s="20">
        <v>11560</v>
      </c>
    </row>
    <row r="5" spans="1:9" x14ac:dyDescent="0.2">
      <c r="A5" s="4">
        <v>4</v>
      </c>
      <c r="B5" s="20">
        <v>2</v>
      </c>
      <c r="C5" s="16"/>
      <c r="D5" s="19">
        <v>4</v>
      </c>
      <c r="E5" s="3">
        <f>IFERROR(INDEX(tblOrdenesServicio[Created At],MATCH(tblDetalleOrdenServicio[[#This Row],[Orden Servicio Id]],tblOrdenesServicio[Id],0)),"")</f>
        <v>46189.911111111112</v>
      </c>
      <c r="F5" s="20">
        <v>340</v>
      </c>
      <c r="G5" s="19">
        <v>9</v>
      </c>
      <c r="H5" t="str">
        <f>IFERROR(INDEX(tblProductos[Nombre],MATCH(tblDetalleOrdenServicio[[#This Row],[Producto Id]],tblProductos[Id],0)),"")</f>
        <v>Mobil 1 ESP Formula 5W-40 1L</v>
      </c>
      <c r="I5" s="20">
        <v>680</v>
      </c>
    </row>
    <row r="6" spans="1:9" x14ac:dyDescent="0.2">
      <c r="A6" s="4">
        <v>5</v>
      </c>
      <c r="B6" s="20">
        <v>4</v>
      </c>
      <c r="C6" s="16"/>
      <c r="D6" s="19">
        <v>5</v>
      </c>
      <c r="E6" s="3">
        <f>IFERROR(INDEX(tblOrdenesServicio[Created At],MATCH(tblDetalleOrdenServicio[[#This Row],[Orden Servicio Id]],tblOrdenesServicio[Id],0)),"")</f>
        <v>46189.911111111112</v>
      </c>
      <c r="F6" s="20">
        <v>145</v>
      </c>
      <c r="G6" s="19">
        <v>11</v>
      </c>
      <c r="H6" t="str">
        <f>IFERROR(INDEX(tblProductos[Nombre],MATCH(tblDetalleOrdenServicio[[#This Row],[Producto Id]],tblProductos[Id],0)),"")</f>
        <v>Filtro de aceite Mobil M1-110</v>
      </c>
      <c r="I6" s="20">
        <v>580</v>
      </c>
    </row>
    <row r="7" spans="1:9" x14ac:dyDescent="0.2">
      <c r="A7" s="6" t="s">
        <v>163</v>
      </c>
    </row>
  </sheetData>
  <sheetProtection sheet="1" scenarios="1" insertRows="0" deleteRows="0" sort="0" autoFilter="0"/>
  <dataValidations count="2">
    <dataValidation type="list" allowBlank="1" showInputMessage="1" showErrorMessage="1" errorTitle="Unknown reference" error="This value must match an existing Orden de servicio." promptTitle="Orden Servicio Id" prompt="Pick an existing Orden de servicio. The lookup column shows its name." sqref="D2:D506" xr:uid="{00000000-0002-0000-0600-000000000000}">
      <formula1>dv_detalle_orden_servicio_orden_servicio_id</formula1>
    </dataValidation>
    <dataValidation type="list" allowBlank="1" showInputMessage="1" showErrorMessage="1" errorTitle="Unknown reference" error="This value must match an existing Producto." promptTitle="Producto Id" prompt="Pick an existing Producto. The lookup column shows its name." sqref="G2:G506" xr:uid="{00000000-0002-0000-0600-000001000000}">
      <formula1>dv_detalle_orden_servicio_producto_id</formula1>
    </dataValidation>
  </dataValidations>
  <hyperlinks>
    <hyperlink ref="A7" location="Home!A1" display="Back to Home" xr:uid="{00000000-0004-0000-0600-000000000000}"/>
  </hyperlinks>
  <pageMargins left="0.35" right="0.35" top="0.6" bottom="0.6" header="0.25" footer="0.25"/>
  <pageSetup paperSize="9" fitToHeight="0" orientation="landscape"/>
  <headerFooter>
    <oddFooter>&amp;LLlantera Aceites Inventario&amp;RPage &amp;P of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4" r:id="rId3" name="sfBtnNew">
              <controlPr defaultSize="0" print="0" autoFill="0" autoPict="0" macro="[0]!modEngine.NewRecord">
                <anchor moveWithCells="1" sizeWithCells="1">
                  <from>
                    <xdr:col>9</xdr:col>
                    <xdr:colOff>152400</xdr:colOff>
                    <xdr:row>0</xdr:row>
                    <xdr:rowOff>50800</xdr:rowOff>
                  </from>
                  <to>
                    <xdr:col>10</xdr:col>
                    <xdr:colOff>495300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4" name="sfBtnEdit">
              <controlPr defaultSize="0" print="0" autoFill="0" autoPict="0" macro="[0]!modEngine.EditRecord">
                <anchor moveWithCells="1" sizeWithCells="1">
                  <from>
                    <xdr:col>10</xdr:col>
                    <xdr:colOff>571500</xdr:colOff>
                    <xdr:row>0</xdr:row>
                    <xdr:rowOff>50800</xdr:rowOff>
                  </from>
                  <to>
                    <xdr:col>12</xdr:col>
                    <xdr:colOff>241300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5" name="sfBtnDelete">
              <controlPr defaultSize="0" print="0" autoFill="0" autoPict="0" macro="[0]!modEngine.DeleteSelectedRecord">
                <anchor moveWithCells="1" sizeWithCells="1">
                  <from>
                    <xdr:col>12</xdr:col>
                    <xdr:colOff>317500</xdr:colOff>
                    <xdr:row>0</xdr:row>
                    <xdr:rowOff>50800</xdr:rowOff>
                  </from>
                  <to>
                    <xdr:col>13</xdr:col>
                    <xdr:colOff>660400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6366F1"/>
    <pageSetUpPr fitToPage="1"/>
  </sheetPr>
  <dimension ref="A1:M4"/>
  <sheetViews>
    <sheetView zoomScale="90" zoomScaleNormal="90"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2" customWidth="1"/>
    <col min="2" max="2" width="17" customWidth="1"/>
    <col min="3" max="3" width="22" customWidth="1"/>
    <col min="4" max="4" width="12" customWidth="1"/>
    <col min="5" max="5" width="26" customWidth="1"/>
    <col min="6" max="6" width="22" customWidth="1"/>
    <col min="7" max="7" width="13" customWidth="1"/>
    <col min="8" max="8" width="22" customWidth="1"/>
    <col min="9" max="9" width="16" customWidth="1"/>
    <col min="10" max="10" width="24" customWidth="1"/>
    <col min="11" max="12" width="12" customWidth="1"/>
    <col min="13" max="13" width="17" customWidth="1"/>
  </cols>
  <sheetData>
    <row r="1" spans="1:13" ht="20" customHeight="1" x14ac:dyDescent="0.2">
      <c r="A1" s="1" t="s">
        <v>70</v>
      </c>
      <c r="B1" s="1" t="s">
        <v>171</v>
      </c>
      <c r="C1" s="1" t="s">
        <v>203</v>
      </c>
      <c r="D1" s="1" t="s">
        <v>172</v>
      </c>
      <c r="E1" s="1" t="s">
        <v>225</v>
      </c>
      <c r="F1" s="1" t="s">
        <v>204</v>
      </c>
      <c r="G1" s="1" t="s">
        <v>205</v>
      </c>
      <c r="H1" s="1" t="s">
        <v>104</v>
      </c>
      <c r="I1" s="1" t="s">
        <v>226</v>
      </c>
      <c r="J1" s="1" t="s">
        <v>227</v>
      </c>
      <c r="K1" s="1" t="s">
        <v>207</v>
      </c>
      <c r="L1" s="1" t="s">
        <v>209</v>
      </c>
      <c r="M1" s="1" t="s">
        <v>169</v>
      </c>
    </row>
    <row r="2" spans="1:13" x14ac:dyDescent="0.2">
      <c r="A2" s="4">
        <v>1</v>
      </c>
      <c r="B2" s="18">
        <v>46189.911111111112</v>
      </c>
      <c r="C2" s="16" t="s">
        <v>228</v>
      </c>
      <c r="D2" s="17">
        <v>46170</v>
      </c>
      <c r="E2" s="17">
        <v>46175</v>
      </c>
      <c r="F2" s="16" t="s">
        <v>179</v>
      </c>
      <c r="G2" s="20">
        <v>7328</v>
      </c>
      <c r="H2" s="16" t="s">
        <v>229</v>
      </c>
      <c r="I2" s="19">
        <v>1</v>
      </c>
      <c r="J2" t="str">
        <f>IFERROR(INDEX(tblProveedores[Nombre],MATCH(tblOrdenesCompra[[#This Row],[Proveedor Id]],tblProveedores[Id],0)),"")</f>
        <v>Distribuidora Michelin Centro</v>
      </c>
      <c r="K2" s="20">
        <v>45800</v>
      </c>
      <c r="L2" s="20">
        <v>53128</v>
      </c>
      <c r="M2" s="18">
        <v>46189.911111111112</v>
      </c>
    </row>
    <row r="3" spans="1:13" x14ac:dyDescent="0.2">
      <c r="A3" s="4">
        <v>2</v>
      </c>
      <c r="B3" s="18">
        <v>46189.911111111112</v>
      </c>
      <c r="C3" s="16" t="s">
        <v>228</v>
      </c>
      <c r="D3" s="17">
        <v>46171</v>
      </c>
      <c r="E3" s="17">
        <v>46176</v>
      </c>
      <c r="F3" s="16" t="s">
        <v>183</v>
      </c>
      <c r="G3" s="20">
        <v>7502.4</v>
      </c>
      <c r="H3" s="16" t="s">
        <v>230</v>
      </c>
      <c r="I3" s="19">
        <v>2</v>
      </c>
      <c r="J3" t="str">
        <f>IFERROR(INDEX(tblProveedores[Nombre],MATCH(tblOrdenesCompra[[#This Row],[Proveedor Id]],tblProveedores[Id],0)),"")</f>
        <v>Lubricantes del Valle SA</v>
      </c>
      <c r="K3" s="20">
        <v>46890</v>
      </c>
      <c r="L3" s="20">
        <v>54392.4</v>
      </c>
      <c r="M3" s="18">
        <v>46189.911111111112</v>
      </c>
    </row>
    <row r="4" spans="1:13" x14ac:dyDescent="0.2">
      <c r="A4" s="6" t="s">
        <v>163</v>
      </c>
    </row>
  </sheetData>
  <sheetProtection sheet="1" scenarios="1" insertRows="0" deleteRows="0" sort="0" autoFilter="0"/>
  <dataValidations count="1">
    <dataValidation type="list" allowBlank="1" showInputMessage="1" showErrorMessage="1" errorTitle="Unknown reference" error="This value must match an existing Proveedor." promptTitle="Proveedor Id" prompt="Pick an existing Proveedor. The lookup column shows its name." sqref="I2:I503" xr:uid="{00000000-0002-0000-0700-000000000000}">
      <formula1>dv_ordenes_compra_proveedor_id</formula1>
    </dataValidation>
  </dataValidations>
  <hyperlinks>
    <hyperlink ref="A4" location="Home!A1" display="Back to Home" xr:uid="{00000000-0004-0000-0700-000000000000}"/>
  </hyperlinks>
  <pageMargins left="0.35" right="0.35" top="0.6" bottom="0.6" header="0.25" footer="0.25"/>
  <pageSetup paperSize="9" fitToHeight="0" orientation="landscape"/>
  <headerFooter>
    <oddFooter>&amp;LLlantera Aceites Inventario&amp;RPage &amp;P of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3" name="sfBtnNew">
              <controlPr defaultSize="0" print="0" autoFill="0" autoPict="0" macro="[0]!modEngine.NewRecord">
                <anchor moveWithCells="1" sizeWithCells="1">
                  <from>
                    <xdr:col>13</xdr:col>
                    <xdr:colOff>152400</xdr:colOff>
                    <xdr:row>0</xdr:row>
                    <xdr:rowOff>50800</xdr:rowOff>
                  </from>
                  <to>
                    <xdr:col>14</xdr:col>
                    <xdr:colOff>495300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4" name="sfBtnEdit">
              <controlPr defaultSize="0" print="0" autoFill="0" autoPict="0" macro="[0]!modEngine.EditRecord">
                <anchor moveWithCells="1" sizeWithCells="1">
                  <from>
                    <xdr:col>14</xdr:col>
                    <xdr:colOff>571500</xdr:colOff>
                    <xdr:row>0</xdr:row>
                    <xdr:rowOff>50800</xdr:rowOff>
                  </from>
                  <to>
                    <xdr:col>16</xdr:col>
                    <xdr:colOff>241300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5" name="sfBtnDelete">
              <controlPr defaultSize="0" print="0" autoFill="0" autoPict="0" macro="[0]!modEngine.DeleteSelectedRecord">
                <anchor moveWithCells="1" sizeWithCells="1">
                  <from>
                    <xdr:col>16</xdr:col>
                    <xdr:colOff>317500</xdr:colOff>
                    <xdr:row>0</xdr:row>
                    <xdr:rowOff>50800</xdr:rowOff>
                  </from>
                  <to>
                    <xdr:col>17</xdr:col>
                    <xdr:colOff>660400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6366F1"/>
    <pageSetUpPr fitToPage="1"/>
  </sheetPr>
  <dimension ref="A1:I7"/>
  <sheetViews>
    <sheetView zoomScale="90" zoomScaleNormal="90"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2" width="12" customWidth="1"/>
    <col min="3" max="3" width="21" customWidth="1"/>
    <col min="4" max="4" width="19" customWidth="1"/>
    <col min="5" max="5" width="24" customWidth="1"/>
    <col min="6" max="6" width="19" customWidth="1"/>
    <col min="7" max="7" width="15" customWidth="1"/>
    <col min="8" max="8" width="24" customWidth="1"/>
    <col min="9" max="9" width="12" customWidth="1"/>
  </cols>
  <sheetData>
    <row r="1" spans="1:9" ht="20" customHeight="1" x14ac:dyDescent="0.2">
      <c r="A1" s="1" t="s">
        <v>70</v>
      </c>
      <c r="B1" s="1" t="s">
        <v>164</v>
      </c>
      <c r="C1" s="1" t="s">
        <v>231</v>
      </c>
      <c r="D1" s="1" t="s">
        <v>232</v>
      </c>
      <c r="E1" s="1" t="s">
        <v>233</v>
      </c>
      <c r="F1" s="1" t="s">
        <v>224</v>
      </c>
      <c r="G1" s="1" t="s">
        <v>165</v>
      </c>
      <c r="H1" s="1" t="s">
        <v>166</v>
      </c>
      <c r="I1" s="1" t="s">
        <v>207</v>
      </c>
    </row>
    <row r="2" spans="1:9" x14ac:dyDescent="0.2">
      <c r="A2" s="4">
        <v>1</v>
      </c>
      <c r="B2" s="20">
        <v>12</v>
      </c>
      <c r="C2" s="20">
        <v>12</v>
      </c>
      <c r="D2" s="19">
        <v>1</v>
      </c>
      <c r="E2" s="3">
        <f>IFERROR(INDEX(tblOrdenesCompra[Created At],MATCH(tblDetalleOrdenCompra[[#This Row],[Orden Compra Id]],tblOrdenesCompra[Id],0)),"")</f>
        <v>46189.911111111112</v>
      </c>
      <c r="F2" s="20">
        <v>1850</v>
      </c>
      <c r="G2" s="19">
        <v>1</v>
      </c>
      <c r="H2" t="str">
        <f>IFERROR(INDEX(tblProductos[Nombre],MATCH(tblDetalleOrdenCompra[[#This Row],[Producto Id]],tblProductos[Id],0)),"")</f>
        <v>Michelin Primacy 4 205/55R16 91V</v>
      </c>
      <c r="I2" s="20">
        <v>22200</v>
      </c>
    </row>
    <row r="3" spans="1:9" x14ac:dyDescent="0.2">
      <c r="A3" s="4">
        <v>2</v>
      </c>
      <c r="B3" s="20">
        <v>8</v>
      </c>
      <c r="C3" s="20">
        <v>8</v>
      </c>
      <c r="D3" s="19">
        <v>1</v>
      </c>
      <c r="E3" s="3">
        <f>IFERROR(INDEX(tblOrdenesCompra[Created At],MATCH(tblDetalleOrdenCompra[[#This Row],[Orden Compra Id]],tblOrdenesCompra[Id],0)),"")</f>
        <v>46189.911111111112</v>
      </c>
      <c r="F3" s="20">
        <v>2100</v>
      </c>
      <c r="G3" s="19">
        <v>2</v>
      </c>
      <c r="H3" t="str">
        <f>IFERROR(INDEX(tblProductos[Nombre],MATCH(tblDetalleOrdenCompra[[#This Row],[Producto Id]],tblProductos[Id],0)),"")</f>
        <v>Bridgestone Turanza 215/55R17 94V</v>
      </c>
      <c r="I3" s="20">
        <v>16800</v>
      </c>
    </row>
    <row r="4" spans="1:9" x14ac:dyDescent="0.2">
      <c r="A4" s="4">
        <v>3</v>
      </c>
      <c r="B4" s="20">
        <v>6</v>
      </c>
      <c r="C4" s="20">
        <v>6</v>
      </c>
      <c r="D4" s="19">
        <v>1</v>
      </c>
      <c r="E4" s="3">
        <f>IFERROR(INDEX(tblOrdenesCompra[Created At],MATCH(tblDetalleOrdenCompra[[#This Row],[Orden Compra Id]],tblOrdenesCompra[Id],0)),"")</f>
        <v>46189.911111111112</v>
      </c>
      <c r="F4" s="20">
        <v>2450</v>
      </c>
      <c r="G4" s="19">
        <v>3</v>
      </c>
      <c r="H4" t="str">
        <f>IFERROR(INDEX(tblProductos[Nombre],MATCH(tblDetalleOrdenCompra[[#This Row],[Producto Id]],tblProductos[Id],0)),"")</f>
        <v>Pirelli Cinturato 225/45R18 95W</v>
      </c>
      <c r="I4" s="20">
        <v>14700</v>
      </c>
    </row>
    <row r="5" spans="1:9" x14ac:dyDescent="0.2">
      <c r="A5" s="4">
        <v>4</v>
      </c>
      <c r="B5" s="20">
        <v>35</v>
      </c>
      <c r="C5" s="20">
        <v>35</v>
      </c>
      <c r="D5" s="19">
        <v>2</v>
      </c>
      <c r="E5" s="3">
        <f>IFERROR(INDEX(tblOrdenesCompra[Created At],MATCH(tblDetalleOrdenCompra[[#This Row],[Orden Compra Id]],tblOrdenesCompra[Id],0)),"")</f>
        <v>46189.911111111112</v>
      </c>
      <c r="F5" s="20">
        <v>950</v>
      </c>
      <c r="G5" s="19">
        <v>6</v>
      </c>
      <c r="H5" t="str">
        <f>IFERROR(INDEX(tblProductos[Nombre],MATCH(tblDetalleOrdenCompra[[#This Row],[Producto Id]],tblProductos[Id],0)),"")</f>
        <v>Mobil 1 Full Synthetic 5W-30 5L</v>
      </c>
      <c r="I5" s="20">
        <v>33250</v>
      </c>
    </row>
    <row r="6" spans="1:9" x14ac:dyDescent="0.2">
      <c r="A6" s="4">
        <v>5</v>
      </c>
      <c r="B6" s="20">
        <v>22</v>
      </c>
      <c r="C6" s="20">
        <v>22</v>
      </c>
      <c r="D6" s="19">
        <v>2</v>
      </c>
      <c r="E6" s="3">
        <f>IFERROR(INDEX(tblOrdenesCompra[Created At],MATCH(tblDetalleOrdenCompra[[#This Row],[Orden Compra Id]],tblOrdenesCompra[Id],0)),"")</f>
        <v>46189.911111111112</v>
      </c>
      <c r="F6" s="20">
        <v>620</v>
      </c>
      <c r="G6" s="19">
        <v>7</v>
      </c>
      <c r="H6" t="str">
        <f>IFERROR(INDEX(tblProductos[Nombre],MATCH(tblDetalleOrdenCompra[[#This Row],[Producto Id]],tblProductos[Id],0)),"")</f>
        <v>Castrol GTX 10W-30 4L</v>
      </c>
      <c r="I6" s="20">
        <v>13640</v>
      </c>
    </row>
    <row r="7" spans="1:9" x14ac:dyDescent="0.2">
      <c r="A7" s="6" t="s">
        <v>163</v>
      </c>
    </row>
  </sheetData>
  <sheetProtection sheet="1" scenarios="1" insertRows="0" deleteRows="0" sort="0" autoFilter="0"/>
  <dataValidations count="2">
    <dataValidation type="list" allowBlank="1" showInputMessage="1" showErrorMessage="1" errorTitle="Unknown reference" error="This value must match an existing Orden de compra." promptTitle="Orden Compra Id" prompt="Pick an existing Orden de compra. The lookup column shows its name." sqref="D2:D506" xr:uid="{00000000-0002-0000-0800-000000000000}">
      <formula1>dv_detalle_orden_compra_orden_compra_id</formula1>
    </dataValidation>
    <dataValidation type="list" allowBlank="1" showInputMessage="1" showErrorMessage="1" errorTitle="Unknown reference" error="This value must match an existing Producto." promptTitle="Producto Id" prompt="Pick an existing Producto. The lookup column shows its name." sqref="G2:G506" xr:uid="{00000000-0002-0000-0800-000001000000}">
      <formula1>dv_detalle_orden_compra_producto_id</formula1>
    </dataValidation>
  </dataValidations>
  <hyperlinks>
    <hyperlink ref="A7" location="Home!A1" display="Back to Home" xr:uid="{00000000-0004-0000-0800-000000000000}"/>
  </hyperlinks>
  <pageMargins left="0.35" right="0.35" top="0.6" bottom="0.6" header="0.25" footer="0.25"/>
  <pageSetup paperSize="9" fitToHeight="0" orientation="landscape"/>
  <headerFooter>
    <oddFooter>&amp;LLlantera Aceites Inventario&amp;RPage &amp;P of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2" r:id="rId3" name="sfBtnNew">
              <controlPr defaultSize="0" print="0" autoFill="0" autoPict="0" macro="[0]!modEngine.NewRecord">
                <anchor moveWithCells="1" sizeWithCells="1">
                  <from>
                    <xdr:col>9</xdr:col>
                    <xdr:colOff>152400</xdr:colOff>
                    <xdr:row>0</xdr:row>
                    <xdr:rowOff>50800</xdr:rowOff>
                  </from>
                  <to>
                    <xdr:col>10</xdr:col>
                    <xdr:colOff>495300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4" name="sfBtnEdit">
              <controlPr defaultSize="0" print="0" autoFill="0" autoPict="0" macro="[0]!modEngine.EditRecord">
                <anchor moveWithCells="1" sizeWithCells="1">
                  <from>
                    <xdr:col>10</xdr:col>
                    <xdr:colOff>571500</xdr:colOff>
                    <xdr:row>0</xdr:row>
                    <xdr:rowOff>50800</xdr:rowOff>
                  </from>
                  <to>
                    <xdr:col>12</xdr:col>
                    <xdr:colOff>241300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5" name="sfBtnDelete">
              <controlPr defaultSize="0" print="0" autoFill="0" autoPict="0" macro="[0]!modEngine.DeleteSelectedRecord">
                <anchor moveWithCells="1" sizeWithCells="1">
                  <from>
                    <xdr:col>12</xdr:col>
                    <xdr:colOff>317500</xdr:colOff>
                    <xdr:row>0</xdr:row>
                    <xdr:rowOff>50800</xdr:rowOff>
                  </from>
                  <to>
                    <xdr:col>13</xdr:col>
                    <xdr:colOff>660400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6366F1"/>
    <pageSetUpPr fitToPage="1"/>
  </sheetPr>
  <dimension ref="A1:G3"/>
  <sheetViews>
    <sheetView zoomScale="90" zoomScaleNormal="90"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2" customWidth="1"/>
    <col min="2" max="2" width="17" customWidth="1"/>
    <col min="3" max="3" width="22" customWidth="1"/>
    <col min="4" max="4" width="12" customWidth="1"/>
    <col min="5" max="7" width="22" customWidth="1"/>
  </cols>
  <sheetData>
    <row r="1" spans="1:7" ht="20" customHeight="1" x14ac:dyDescent="0.2">
      <c r="A1" s="1" t="s">
        <v>70</v>
      </c>
      <c r="B1" s="1" t="s">
        <v>171</v>
      </c>
      <c r="C1" s="1" t="s">
        <v>203</v>
      </c>
      <c r="D1" s="1" t="s">
        <v>172</v>
      </c>
      <c r="E1" s="1" t="s">
        <v>204</v>
      </c>
      <c r="F1" s="1" t="s">
        <v>104</v>
      </c>
      <c r="G1" s="1" t="s">
        <v>234</v>
      </c>
    </row>
    <row r="2" spans="1:7" x14ac:dyDescent="0.2">
      <c r="A2" s="4">
        <v>1</v>
      </c>
      <c r="B2" s="18">
        <v>46189.911111111112</v>
      </c>
      <c r="C2" s="16" t="s">
        <v>235</v>
      </c>
      <c r="D2" s="17">
        <v>46187</v>
      </c>
      <c r="E2" s="16" t="s">
        <v>199</v>
      </c>
      <c r="F2" s="16" t="s">
        <v>236</v>
      </c>
      <c r="G2" s="16" t="s">
        <v>181</v>
      </c>
    </row>
    <row r="3" spans="1:7" x14ac:dyDescent="0.2">
      <c r="A3" s="6" t="s">
        <v>163</v>
      </c>
    </row>
  </sheetData>
  <sheetProtection sheet="1" scenarios="1" insertRows="0" deleteRows="0" sort="0" autoFilter="0"/>
  <hyperlinks>
    <hyperlink ref="A3" location="Home!A1" display="Back to Home" xr:uid="{00000000-0004-0000-0900-000000000000}"/>
  </hyperlinks>
  <pageMargins left="0.35" right="0.35" top="0.6" bottom="0.6" header="0.25" footer="0.25"/>
  <pageSetup paperSize="9" fitToHeight="0" orientation="landscape"/>
  <headerFooter>
    <oddFooter>&amp;LLlantera Aceites Inventario&amp;RPage &amp;P of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sfBtnNew">
              <controlPr defaultSize="0" print="0" autoFill="0" autoPict="0" macro="[0]!modEngine.NewRecord">
                <anchor moveWithCells="1" sizeWithCells="1">
                  <from>
                    <xdr:col>7</xdr:col>
                    <xdr:colOff>152400</xdr:colOff>
                    <xdr:row>0</xdr:row>
                    <xdr:rowOff>50800</xdr:rowOff>
                  </from>
                  <to>
                    <xdr:col>8</xdr:col>
                    <xdr:colOff>495300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4" name="sfBtnEdit">
              <controlPr defaultSize="0" print="0" autoFill="0" autoPict="0" macro="[0]!modEngine.EditRecord">
                <anchor moveWithCells="1" sizeWithCells="1">
                  <from>
                    <xdr:col>8</xdr:col>
                    <xdr:colOff>571500</xdr:colOff>
                    <xdr:row>0</xdr:row>
                    <xdr:rowOff>50800</xdr:rowOff>
                  </from>
                  <to>
                    <xdr:col>10</xdr:col>
                    <xdr:colOff>241300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sfBtnDelete">
              <controlPr defaultSize="0" print="0" autoFill="0" autoPict="0" macro="[0]!modEngine.DeleteSelectedRecord">
                <anchor moveWithCells="1" sizeWithCells="1">
                  <from>
                    <xdr:col>10</xdr:col>
                    <xdr:colOff>317500</xdr:colOff>
                    <xdr:row>0</xdr:row>
                    <xdr:rowOff>50800</xdr:rowOff>
                  </from>
                  <to>
                    <xdr:col>11</xdr:col>
                    <xdr:colOff>660400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6366F1"/>
    <pageSetUpPr fitToPage="1"/>
  </sheetPr>
  <dimension ref="A1:K13"/>
  <sheetViews>
    <sheetView zoomScale="90" zoomScaleNormal="90"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2" customWidth="1"/>
    <col min="2" max="2" width="20" customWidth="1"/>
    <col min="3" max="3" width="13" customWidth="1"/>
    <col min="4" max="4" width="24" customWidth="1"/>
    <col min="5" max="5" width="14" customWidth="1"/>
    <col min="6" max="6" width="22" customWidth="1"/>
    <col min="7" max="7" width="15" customWidth="1"/>
    <col min="8" max="8" width="24" customWidth="1"/>
    <col min="9" max="9" width="17" customWidth="1"/>
    <col min="10" max="10" width="16" customWidth="1"/>
    <col min="11" max="11" width="24" customWidth="1"/>
  </cols>
  <sheetData>
    <row r="1" spans="1:11" ht="20" customHeight="1" x14ac:dyDescent="0.2">
      <c r="A1" s="1" t="s">
        <v>70</v>
      </c>
      <c r="B1" s="1" t="s">
        <v>237</v>
      </c>
      <c r="C1" s="1" t="s">
        <v>238</v>
      </c>
      <c r="D1" s="1" t="s">
        <v>239</v>
      </c>
      <c r="E1" s="1" t="s">
        <v>240</v>
      </c>
      <c r="F1" s="1" t="s">
        <v>104</v>
      </c>
      <c r="G1" s="1" t="s">
        <v>165</v>
      </c>
      <c r="H1" s="1" t="s">
        <v>166</v>
      </c>
      <c r="I1" s="1" t="s">
        <v>241</v>
      </c>
      <c r="J1" s="1" t="s">
        <v>167</v>
      </c>
      <c r="K1" s="1" t="s">
        <v>168</v>
      </c>
    </row>
    <row r="2" spans="1:11" x14ac:dyDescent="0.2">
      <c r="A2" s="4">
        <v>1</v>
      </c>
      <c r="B2" s="20">
        <v>10</v>
      </c>
      <c r="C2" s="19">
        <v>1</v>
      </c>
      <c r="D2" s="3">
        <f>IFERROR(INDEX(tblConteosFisicos[Created At],MATCH(tblDetalleConteoFisico[[#This Row],[Conteo Id]],tblConteosFisicos[Id],0)),"")</f>
        <v>46189.911111111112</v>
      </c>
      <c r="E2" s="20">
        <v>0</v>
      </c>
      <c r="F2" s="16"/>
      <c r="G2" s="19">
        <v>1</v>
      </c>
      <c r="H2" t="str">
        <f>IFERROR(INDEX(tblProductos[Nombre],MATCH(tblDetalleConteoFisico[[#This Row],[Producto Id]],tblProductos[Id],0)),"")</f>
        <v>Michelin Primacy 4 205/55R16 91V</v>
      </c>
      <c r="I2" s="20">
        <v>10</v>
      </c>
      <c r="J2" s="19">
        <v>1</v>
      </c>
      <c r="K2" t="str">
        <f>IFERROR(INDEX(tblUbicaciones[Nombre],MATCH(tblDetalleConteoFisico[[#This Row],[Ubicacion Id]],tblUbicaciones[Id],0)),"")</f>
        <v>Rack Llantas A-01</v>
      </c>
    </row>
    <row r="3" spans="1:11" x14ac:dyDescent="0.2">
      <c r="A3" s="4">
        <v>2</v>
      </c>
      <c r="B3" s="20">
        <v>8</v>
      </c>
      <c r="C3" s="19">
        <v>1</v>
      </c>
      <c r="D3" s="3">
        <f>IFERROR(INDEX(tblConteosFisicos[Created At],MATCH(tblDetalleConteoFisico[[#This Row],[Conteo Id]],tblConteosFisicos[Id],0)),"")</f>
        <v>46189.911111111112</v>
      </c>
      <c r="E3" s="20">
        <v>0</v>
      </c>
      <c r="F3" s="16"/>
      <c r="G3" s="19">
        <v>2</v>
      </c>
      <c r="H3" t="str">
        <f>IFERROR(INDEX(tblProductos[Nombre],MATCH(tblDetalleConteoFisico[[#This Row],[Producto Id]],tblProductos[Id],0)),"")</f>
        <v>Bridgestone Turanza 215/55R17 94V</v>
      </c>
      <c r="I3" s="20">
        <v>8</v>
      </c>
      <c r="J3" s="19">
        <v>1</v>
      </c>
      <c r="K3" t="str">
        <f>IFERROR(INDEX(tblUbicaciones[Nombre],MATCH(tblDetalleConteoFisico[[#This Row],[Ubicacion Id]],tblUbicaciones[Id],0)),"")</f>
        <v>Rack Llantas A-01</v>
      </c>
    </row>
    <row r="4" spans="1:11" x14ac:dyDescent="0.2">
      <c r="A4" s="4">
        <v>3</v>
      </c>
      <c r="B4" s="20">
        <v>6</v>
      </c>
      <c r="C4" s="19">
        <v>1</v>
      </c>
      <c r="D4" s="3">
        <f>IFERROR(INDEX(tblConteosFisicos[Created At],MATCH(tblDetalleConteoFisico[[#This Row],[Conteo Id]],tblConteosFisicos[Id],0)),"")</f>
        <v>46189.911111111112</v>
      </c>
      <c r="E4" s="20">
        <v>0</v>
      </c>
      <c r="F4" s="16"/>
      <c r="G4" s="19">
        <v>3</v>
      </c>
      <c r="H4" t="str">
        <f>IFERROR(INDEX(tblProductos[Nombre],MATCH(tblDetalleConteoFisico[[#This Row],[Producto Id]],tblProductos[Id],0)),"")</f>
        <v>Pirelli Cinturato 225/45R18 95W</v>
      </c>
      <c r="I4" s="20">
        <v>6</v>
      </c>
      <c r="J4" s="19">
        <v>1</v>
      </c>
      <c r="K4" t="str">
        <f>IFERROR(INDEX(tblUbicaciones[Nombre],MATCH(tblDetalleConteoFisico[[#This Row],[Ubicacion Id]],tblUbicaciones[Id],0)),"")</f>
        <v>Rack Llantas A-01</v>
      </c>
    </row>
    <row r="5" spans="1:11" x14ac:dyDescent="0.2">
      <c r="A5" s="4">
        <v>4</v>
      </c>
      <c r="B5" s="20">
        <v>4</v>
      </c>
      <c r="C5" s="19">
        <v>1</v>
      </c>
      <c r="D5" s="3">
        <f>IFERROR(INDEX(tblConteosFisicos[Created At],MATCH(tblDetalleConteoFisico[[#This Row],[Conteo Id]],tblConteosFisicos[Id],0)),"")</f>
        <v>46189.911111111112</v>
      </c>
      <c r="E5" s="20">
        <v>0</v>
      </c>
      <c r="F5" s="16"/>
      <c r="G5" s="19">
        <v>4</v>
      </c>
      <c r="H5" t="str">
        <f>IFERROR(INDEX(tblProductos[Nombre],MATCH(tblDetalleConteoFisico[[#This Row],[Producto Id]],tblProductos[Id],0)),"")</f>
        <v>Continental WinterContact 185/65R15</v>
      </c>
      <c r="I5" s="20">
        <v>4</v>
      </c>
      <c r="J5" s="19">
        <v>2</v>
      </c>
      <c r="K5" t="str">
        <f>IFERROR(INDEX(tblUbicaciones[Nombre],MATCH(tblDetalleConteoFisico[[#This Row],[Ubicacion Id]],tblUbicaciones[Id],0)),"")</f>
        <v>Rack Llantas A-02</v>
      </c>
    </row>
    <row r="6" spans="1:11" x14ac:dyDescent="0.2">
      <c r="A6" s="4">
        <v>5</v>
      </c>
      <c r="B6" s="20">
        <v>10</v>
      </c>
      <c r="C6" s="19">
        <v>1</v>
      </c>
      <c r="D6" s="3">
        <f>IFERROR(INDEX(tblConteosFisicos[Created At],MATCH(tblDetalleConteoFisico[[#This Row],[Conteo Id]],tblConteosFisicos[Id],0)),"")</f>
        <v>46189.911111111112</v>
      </c>
      <c r="E6" s="20">
        <v>0</v>
      </c>
      <c r="F6" s="16"/>
      <c r="G6" s="19">
        <v>5</v>
      </c>
      <c r="H6" t="str">
        <f>IFERROR(INDEX(tblProductos[Nombre],MATCH(tblDetalleConteoFisico[[#This Row],[Producto Id]],tblProductos[Id],0)),"")</f>
        <v>Michelin LTX A/T 265/70R17 121S</v>
      </c>
      <c r="I6" s="20">
        <v>10</v>
      </c>
      <c r="J6" s="19">
        <v>3</v>
      </c>
      <c r="K6" t="str">
        <f>IFERROR(INDEX(tblUbicaciones[Nombre],MATCH(tblDetalleConteoFisico[[#This Row],[Ubicacion Id]],tblUbicaciones[Id],0)),"")</f>
        <v>Rack Llantas A-03</v>
      </c>
    </row>
    <row r="7" spans="1:11" x14ac:dyDescent="0.2">
      <c r="A7" s="4">
        <v>6</v>
      </c>
      <c r="B7" s="20">
        <v>35</v>
      </c>
      <c r="C7" s="19">
        <v>1</v>
      </c>
      <c r="D7" s="3">
        <f>IFERROR(INDEX(tblConteosFisicos[Created At],MATCH(tblDetalleConteoFisico[[#This Row],[Conteo Id]],tblConteosFisicos[Id],0)),"")</f>
        <v>46189.911111111112</v>
      </c>
      <c r="E7" s="20">
        <v>1</v>
      </c>
      <c r="F7" s="16" t="s">
        <v>242</v>
      </c>
      <c r="G7" s="19">
        <v>6</v>
      </c>
      <c r="H7" t="str">
        <f>IFERROR(INDEX(tblProductos[Nombre],MATCH(tblDetalleConteoFisico[[#This Row],[Producto Id]],tblProductos[Id],0)),"")</f>
        <v>Mobil 1 Full Synthetic 5W-30 5L</v>
      </c>
      <c r="I7" s="20">
        <v>34</v>
      </c>
      <c r="J7" s="19">
        <v>4</v>
      </c>
      <c r="K7" t="str">
        <f>IFERROR(INDEX(tblUbicaciones[Nombre],MATCH(tblDetalleConteoFisico[[#This Row],[Ubicacion Id]],tblUbicaciones[Id],0)),"")</f>
        <v>Estante Aceites Norte</v>
      </c>
    </row>
    <row r="8" spans="1:11" x14ac:dyDescent="0.2">
      <c r="A8" s="4">
        <v>7</v>
      </c>
      <c r="B8" s="20">
        <v>22</v>
      </c>
      <c r="C8" s="19">
        <v>1</v>
      </c>
      <c r="D8" s="3">
        <f>IFERROR(INDEX(tblConteosFisicos[Created At],MATCH(tblDetalleConteoFisico[[#This Row],[Conteo Id]],tblConteosFisicos[Id],0)),"")</f>
        <v>46189.911111111112</v>
      </c>
      <c r="E8" s="20">
        <v>0</v>
      </c>
      <c r="F8" s="16"/>
      <c r="G8" s="19">
        <v>7</v>
      </c>
      <c r="H8" t="str">
        <f>IFERROR(INDEX(tblProductos[Nombre],MATCH(tblDetalleConteoFisico[[#This Row],[Producto Id]],tblProductos[Id],0)),"")</f>
        <v>Castrol GTX 10W-30 4L</v>
      </c>
      <c r="I8" s="20">
        <v>22</v>
      </c>
      <c r="J8" s="19">
        <v>4</v>
      </c>
      <c r="K8" t="str">
        <f>IFERROR(INDEX(tblUbicaciones[Nombre],MATCH(tblDetalleConteoFisico[[#This Row],[Ubicacion Id]],tblUbicaciones[Id],0)),"")</f>
        <v>Estante Aceites Norte</v>
      </c>
    </row>
    <row r="9" spans="1:11" x14ac:dyDescent="0.2">
      <c r="A9" s="4">
        <v>8</v>
      </c>
      <c r="B9" s="20">
        <v>18</v>
      </c>
      <c r="C9" s="19">
        <v>1</v>
      </c>
      <c r="D9" s="3">
        <f>IFERROR(INDEX(tblConteosFisicos[Created At],MATCH(tblDetalleConteoFisico[[#This Row],[Conteo Id]],tblConteosFisicos[Id],0)),"")</f>
        <v>46189.911111111112</v>
      </c>
      <c r="E9" s="20">
        <v>0</v>
      </c>
      <c r="F9" s="16"/>
      <c r="G9" s="19">
        <v>8</v>
      </c>
      <c r="H9" t="str">
        <f>IFERROR(INDEX(tblProductos[Nombre],MATCH(tblDetalleConteoFisico[[#This Row],[Producto Id]],tblProductos[Id],0)),"")</f>
        <v>Shell Rotella T6 15W-40 Diesel 4L</v>
      </c>
      <c r="I9" s="20">
        <v>18</v>
      </c>
      <c r="J9" s="19">
        <v>5</v>
      </c>
      <c r="K9" t="str">
        <f>IFERROR(INDEX(tblUbicaciones[Nombre],MATCH(tblDetalleConteoFisico[[#This Row],[Ubicacion Id]],tblUbicaciones[Id],0)),"")</f>
        <v>Estante Aceites Sur</v>
      </c>
    </row>
    <row r="10" spans="1:11" x14ac:dyDescent="0.2">
      <c r="A10" s="4">
        <v>9</v>
      </c>
      <c r="B10" s="20">
        <v>38</v>
      </c>
      <c r="C10" s="19">
        <v>1</v>
      </c>
      <c r="D10" s="3">
        <f>IFERROR(INDEX(tblConteosFisicos[Created At],MATCH(tblDetalleConteoFisico[[#This Row],[Conteo Id]],tblConteosFisicos[Id],0)),"")</f>
        <v>46189.911111111112</v>
      </c>
      <c r="E10" s="20">
        <v>0</v>
      </c>
      <c r="F10" s="16"/>
      <c r="G10" s="19">
        <v>9</v>
      </c>
      <c r="H10" t="str">
        <f>IFERROR(INDEX(tblProductos[Nombre],MATCH(tblDetalleConteoFisico[[#This Row],[Producto Id]],tblProductos[Id],0)),"")</f>
        <v>Mobil 1 ESP Formula 5W-40 1L</v>
      </c>
      <c r="I10" s="20">
        <v>38</v>
      </c>
      <c r="J10" s="19">
        <v>4</v>
      </c>
      <c r="K10" t="str">
        <f>IFERROR(INDEX(tblUbicaciones[Nombre],MATCH(tblDetalleConteoFisico[[#This Row],[Ubicacion Id]],tblUbicaciones[Id],0)),"")</f>
        <v>Estante Aceites Norte</v>
      </c>
    </row>
    <row r="11" spans="1:11" x14ac:dyDescent="0.2">
      <c r="A11" s="4">
        <v>10</v>
      </c>
      <c r="B11" s="20">
        <v>16</v>
      </c>
      <c r="C11" s="19">
        <v>1</v>
      </c>
      <c r="D11" s="3">
        <f>IFERROR(INDEX(tblConteosFisicos[Created At],MATCH(tblDetalleConteoFisico[[#This Row],[Conteo Id]],tblConteosFisicos[Id],0)),"")</f>
        <v>46189.911111111112</v>
      </c>
      <c r="E11" s="20">
        <v>0</v>
      </c>
      <c r="F11" s="16"/>
      <c r="G11" s="19">
        <v>10</v>
      </c>
      <c r="H11" t="str">
        <f>IFERROR(INDEX(tblProductos[Nombre],MATCH(tblDetalleConteoFisico[[#This Row],[Producto Id]],tblProductos[Id],0)),"")</f>
        <v>Castrol Transmax Dexron VI ATF 1L</v>
      </c>
      <c r="I11" s="20">
        <v>16</v>
      </c>
      <c r="J11" s="19">
        <v>5</v>
      </c>
      <c r="K11" t="str">
        <f>IFERROR(INDEX(tblUbicaciones[Nombre],MATCH(tblDetalleConteoFisico[[#This Row],[Ubicacion Id]],tblUbicaciones[Id],0)),"")</f>
        <v>Estante Aceites Sur</v>
      </c>
    </row>
    <row r="12" spans="1:11" x14ac:dyDescent="0.2">
      <c r="A12" s="4">
        <v>11</v>
      </c>
      <c r="B12" s="20">
        <v>46</v>
      </c>
      <c r="C12" s="19">
        <v>1</v>
      </c>
      <c r="D12" s="3">
        <f>IFERROR(INDEX(tblConteosFisicos[Created At],MATCH(tblDetalleConteoFisico[[#This Row],[Conteo Id]],tblConteosFisicos[Id],0)),"")</f>
        <v>46189.911111111112</v>
      </c>
      <c r="E12" s="20">
        <v>0</v>
      </c>
      <c r="F12" s="16"/>
      <c r="G12" s="19">
        <v>11</v>
      </c>
      <c r="H12" t="str">
        <f>IFERROR(INDEX(tblProductos[Nombre],MATCH(tblDetalleConteoFisico[[#This Row],[Producto Id]],tblProductos[Id],0)),"")</f>
        <v>Filtro de aceite Mobil M1-110</v>
      </c>
      <c r="I12" s="20">
        <v>46</v>
      </c>
      <c r="J12" s="19">
        <v>6</v>
      </c>
      <c r="K12" t="str">
        <f>IFERROR(INDEX(tblUbicaciones[Nombre],MATCH(tblDetalleConteoFisico[[#This Row],[Ubicacion Id]],tblUbicaciones[Id],0)),"")</f>
        <v>Mostrador</v>
      </c>
    </row>
    <row r="13" spans="1:11" x14ac:dyDescent="0.2">
      <c r="A13" s="6" t="s">
        <v>163</v>
      </c>
    </row>
  </sheetData>
  <sheetProtection sheet="1" scenarios="1" insertRows="0" deleteRows="0" sort="0" autoFilter="0"/>
  <dataValidations count="3">
    <dataValidation type="list" allowBlank="1" showInputMessage="1" showErrorMessage="1" errorTitle="Unknown reference" error="This value must match an existing Conteo fisico." promptTitle="Conteo Id" prompt="Pick an existing Conteo fisico. The lookup column shows its name." sqref="C2:C512" xr:uid="{00000000-0002-0000-0A00-000000000000}">
      <formula1>dv_detalle_conteo_fisico_conteo_id</formula1>
    </dataValidation>
    <dataValidation type="list" allowBlank="1" showInputMessage="1" showErrorMessage="1" errorTitle="Unknown reference" error="This value must match an existing Producto." promptTitle="Producto Id" prompt="Pick an existing Producto. The lookup column shows its name." sqref="G2:G512" xr:uid="{00000000-0002-0000-0A00-000001000000}">
      <formula1>dv_detalle_conteo_fisico_producto_id</formula1>
    </dataValidation>
    <dataValidation type="list" allowBlank="1" showInputMessage="1" showErrorMessage="1" errorTitle="Unknown reference" error="This value must match an existing Ubicacion." promptTitle="Ubicacion Id" prompt="Pick an existing Ubicacion. The lookup column shows its name." sqref="J2:J512" xr:uid="{00000000-0002-0000-0A00-000002000000}">
      <formula1>dv_detalle_conteo_fisico_ubicacion_id</formula1>
    </dataValidation>
  </dataValidations>
  <hyperlinks>
    <hyperlink ref="A13" location="Home!A1" display="Back to Home" xr:uid="{00000000-0004-0000-0A00-000000000000}"/>
  </hyperlinks>
  <pageMargins left="0.35" right="0.35" top="0.6" bottom="0.6" header="0.25" footer="0.25"/>
  <pageSetup paperSize="9" fitToHeight="0" orientation="landscape"/>
  <headerFooter>
    <oddFooter>&amp;LLlantera Aceites Inventario&amp;RPage &amp;P of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2" r:id="rId3" name="sfBtnNew">
              <controlPr defaultSize="0" print="0" autoFill="0" autoPict="0" macro="[0]!modEngine.NewRecord">
                <anchor moveWithCells="1" sizeWithCells="1">
                  <from>
                    <xdr:col>11</xdr:col>
                    <xdr:colOff>152400</xdr:colOff>
                    <xdr:row>0</xdr:row>
                    <xdr:rowOff>50800</xdr:rowOff>
                  </from>
                  <to>
                    <xdr:col>12</xdr:col>
                    <xdr:colOff>495300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4" name="sfBtnEdit">
              <controlPr defaultSize="0" print="0" autoFill="0" autoPict="0" macro="[0]!modEngine.EditRecord">
                <anchor moveWithCells="1" sizeWithCells="1">
                  <from>
                    <xdr:col>12</xdr:col>
                    <xdr:colOff>571500</xdr:colOff>
                    <xdr:row>0</xdr:row>
                    <xdr:rowOff>50800</xdr:rowOff>
                  </from>
                  <to>
                    <xdr:col>14</xdr:col>
                    <xdr:colOff>241300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5" name="sfBtnDelete">
              <controlPr defaultSize="0" print="0" autoFill="0" autoPict="0" macro="[0]!modEngine.DeleteSelectedRecord">
                <anchor moveWithCells="1" sizeWithCells="1">
                  <from>
                    <xdr:col>14</xdr:col>
                    <xdr:colOff>317500</xdr:colOff>
                    <xdr:row>0</xdr:row>
                    <xdr:rowOff>50800</xdr:rowOff>
                  </from>
                  <to>
                    <xdr:col>15</xdr:col>
                    <xdr:colOff>660400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6366F1"/>
    <pageSetUpPr fitToPage="1"/>
  </sheetPr>
  <dimension ref="A1:I5"/>
  <sheetViews>
    <sheetView zoomScale="90" zoomScaleNormal="90"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2" customWidth="1"/>
    <col min="2" max="3" width="22" customWidth="1"/>
    <col min="4" max="4" width="17" customWidth="1"/>
    <col min="5" max="9" width="22" customWidth="1"/>
  </cols>
  <sheetData>
    <row r="1" spans="1:9" ht="20" customHeight="1" x14ac:dyDescent="0.2">
      <c r="A1" s="1" t="s">
        <v>70</v>
      </c>
      <c r="B1" s="1" t="s">
        <v>103</v>
      </c>
      <c r="C1" s="1" t="s">
        <v>243</v>
      </c>
      <c r="D1" s="1" t="s">
        <v>171</v>
      </c>
      <c r="E1" s="1" t="s">
        <v>244</v>
      </c>
      <c r="F1" s="1" t="s">
        <v>245</v>
      </c>
      <c r="G1" s="1" t="s">
        <v>246</v>
      </c>
      <c r="H1" s="1" t="s">
        <v>104</v>
      </c>
      <c r="I1" s="1" t="s">
        <v>247</v>
      </c>
    </row>
    <row r="2" spans="1:9" x14ac:dyDescent="0.2">
      <c r="A2" s="4">
        <v>1</v>
      </c>
      <c r="B2" s="16" t="s">
        <v>111</v>
      </c>
      <c r="C2" s="16" t="s">
        <v>248</v>
      </c>
      <c r="D2" s="18">
        <v>46189.911111111112</v>
      </c>
      <c r="E2" s="16" t="s">
        <v>249</v>
      </c>
      <c r="F2" s="16" t="s">
        <v>250</v>
      </c>
      <c r="G2" s="16" t="s">
        <v>251</v>
      </c>
      <c r="H2" s="16"/>
      <c r="I2" s="16" t="s">
        <v>252</v>
      </c>
    </row>
    <row r="3" spans="1:9" x14ac:dyDescent="0.2">
      <c r="A3" s="4">
        <v>2</v>
      </c>
      <c r="B3" s="16" t="s">
        <v>111</v>
      </c>
      <c r="C3" s="16" t="s">
        <v>253</v>
      </c>
      <c r="D3" s="18">
        <v>46189.911111111112</v>
      </c>
      <c r="E3" s="16" t="s">
        <v>254</v>
      </c>
      <c r="F3" s="16" t="s">
        <v>255</v>
      </c>
      <c r="G3" s="16" t="s">
        <v>256</v>
      </c>
      <c r="H3" s="16"/>
      <c r="I3" s="16" t="s">
        <v>257</v>
      </c>
    </row>
    <row r="4" spans="1:9" x14ac:dyDescent="0.2">
      <c r="A4" s="4">
        <v>3</v>
      </c>
      <c r="B4" s="16" t="s">
        <v>111</v>
      </c>
      <c r="C4" s="16" t="s">
        <v>258</v>
      </c>
      <c r="D4" s="18">
        <v>46189.911111111112</v>
      </c>
      <c r="E4" s="16" t="s">
        <v>259</v>
      </c>
      <c r="F4" s="16" t="s">
        <v>260</v>
      </c>
      <c r="G4" s="16" t="s">
        <v>261</v>
      </c>
      <c r="H4" s="16"/>
      <c r="I4" s="16" t="s">
        <v>262</v>
      </c>
    </row>
    <row r="5" spans="1:9" x14ac:dyDescent="0.2">
      <c r="A5" s="6" t="s">
        <v>163</v>
      </c>
    </row>
  </sheetData>
  <sheetProtection sheet="1" scenarios="1" insertRows="0" deleteRows="0" sort="0" autoFilter="0"/>
  <hyperlinks>
    <hyperlink ref="A5" location="Home!A1" display="Back to Home" xr:uid="{00000000-0004-0000-0B00-000000000000}"/>
  </hyperlinks>
  <pageMargins left="0.35" right="0.35" top="0.6" bottom="0.6" header="0.25" footer="0.25"/>
  <pageSetup paperSize="9" fitToHeight="0" orientation="landscape"/>
  <headerFooter>
    <oddFooter>&amp;LLlantera Aceites Inventario&amp;RPage &amp;P of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sfBtnNew">
              <controlPr defaultSize="0" print="0" autoFill="0" autoPict="0" macro="[0]!modEngine.NewRecord">
                <anchor moveWithCells="1" sizeWithCells="1">
                  <from>
                    <xdr:col>9</xdr:col>
                    <xdr:colOff>152400</xdr:colOff>
                    <xdr:row>0</xdr:row>
                    <xdr:rowOff>50800</xdr:rowOff>
                  </from>
                  <to>
                    <xdr:col>10</xdr:col>
                    <xdr:colOff>495300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4" name="sfBtnEdit">
              <controlPr defaultSize="0" print="0" autoFill="0" autoPict="0" macro="[0]!modEngine.EditRecord">
                <anchor moveWithCells="1" sizeWithCells="1">
                  <from>
                    <xdr:col>10</xdr:col>
                    <xdr:colOff>571500</xdr:colOff>
                    <xdr:row>0</xdr:row>
                    <xdr:rowOff>50800</xdr:rowOff>
                  </from>
                  <to>
                    <xdr:col>12</xdr:col>
                    <xdr:colOff>241300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5" name="sfBtnDelete">
              <controlPr defaultSize="0" print="0" autoFill="0" autoPict="0" macro="[0]!modEngine.DeleteSelectedRecord">
                <anchor moveWithCells="1" sizeWithCells="1">
                  <from>
                    <xdr:col>12</xdr:col>
                    <xdr:colOff>317500</xdr:colOff>
                    <xdr:row>0</xdr:row>
                    <xdr:rowOff>50800</xdr:rowOff>
                  </from>
                  <to>
                    <xdr:col>13</xdr:col>
                    <xdr:colOff>660400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6366F1"/>
    <pageSetUpPr fitToPage="1"/>
  </sheetPr>
  <dimension ref="A1:K7"/>
  <sheetViews>
    <sheetView zoomScale="90" zoomScaleNormal="90"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2" width="12" customWidth="1"/>
    <col min="3" max="3" width="14" customWidth="1"/>
    <col min="4" max="4" width="24" customWidth="1"/>
    <col min="5" max="5" width="22" customWidth="1"/>
    <col min="6" max="6" width="17" customWidth="1"/>
    <col min="7" max="11" width="22" customWidth="1"/>
  </cols>
  <sheetData>
    <row r="1" spans="1:11" ht="20" customHeight="1" x14ac:dyDescent="0.2">
      <c r="A1" s="1" t="s">
        <v>70</v>
      </c>
      <c r="B1" s="1" t="s">
        <v>263</v>
      </c>
      <c r="C1" s="1" t="s">
        <v>201</v>
      </c>
      <c r="D1" s="1" t="s">
        <v>202</v>
      </c>
      <c r="E1" s="1" t="s">
        <v>264</v>
      </c>
      <c r="F1" s="1" t="s">
        <v>171</v>
      </c>
      <c r="G1" s="1" t="s">
        <v>265</v>
      </c>
      <c r="H1" s="1" t="s">
        <v>266</v>
      </c>
      <c r="I1" s="1" t="s">
        <v>104</v>
      </c>
      <c r="J1" s="1" t="s">
        <v>267</v>
      </c>
      <c r="K1" s="1" t="s">
        <v>268</v>
      </c>
    </row>
    <row r="2" spans="1:11" x14ac:dyDescent="0.2">
      <c r="A2" s="4">
        <v>1</v>
      </c>
      <c r="B2" s="19">
        <v>2020</v>
      </c>
      <c r="C2" s="19">
        <v>1</v>
      </c>
      <c r="D2" t="str">
        <f>IFERROR(INDEX(tblClientes[Nombre Completo],MATCH(tblVehiculos[[#This Row],[Cliente Id]],tblClientes[Id],0)),"")</f>
        <v>Juan Perez Lopez</v>
      </c>
      <c r="E2" s="16" t="s">
        <v>269</v>
      </c>
      <c r="F2" s="18">
        <v>46189.911111111112</v>
      </c>
      <c r="G2" s="16" t="s">
        <v>270</v>
      </c>
      <c r="H2" s="16" t="s">
        <v>271</v>
      </c>
      <c r="I2" s="16"/>
      <c r="J2" s="16" t="s">
        <v>272</v>
      </c>
      <c r="K2" s="16"/>
    </row>
    <row r="3" spans="1:11" x14ac:dyDescent="0.2">
      <c r="A3" s="4">
        <v>2</v>
      </c>
      <c r="B3" s="19">
        <v>2019</v>
      </c>
      <c r="C3" s="19">
        <v>1</v>
      </c>
      <c r="D3" t="str">
        <f>IFERROR(INDEX(tblClientes[Nombre Completo],MATCH(tblVehiculos[[#This Row],[Cliente Id]],tblClientes[Id],0)),"")</f>
        <v>Juan Perez Lopez</v>
      </c>
      <c r="E3" s="16" t="s">
        <v>273</v>
      </c>
      <c r="F3" s="18">
        <v>46189.911111111112</v>
      </c>
      <c r="G3" s="16" t="s">
        <v>274</v>
      </c>
      <c r="H3" s="16" t="s">
        <v>275</v>
      </c>
      <c r="I3" s="16"/>
      <c r="J3" s="16" t="s">
        <v>276</v>
      </c>
      <c r="K3" s="16"/>
    </row>
    <row r="4" spans="1:11" x14ac:dyDescent="0.2">
      <c r="A4" s="4">
        <v>3</v>
      </c>
      <c r="B4" s="19">
        <v>2022</v>
      </c>
      <c r="C4" s="19">
        <v>2</v>
      </c>
      <c r="D4" t="str">
        <f>IFERROR(INDEX(tblClientes[Nombre Completo],MATCH(tblVehiculos[[#This Row],[Cliente Id]],tblClientes[Id],0)),"")</f>
        <v>Maria Gonzalez Castillo</v>
      </c>
      <c r="E4" s="16" t="s">
        <v>277</v>
      </c>
      <c r="F4" s="18">
        <v>46189.911111111112</v>
      </c>
      <c r="G4" s="16" t="s">
        <v>278</v>
      </c>
      <c r="H4" s="16" t="s">
        <v>279</v>
      </c>
      <c r="I4" s="16"/>
      <c r="J4" s="16" t="s">
        <v>280</v>
      </c>
      <c r="K4" s="16"/>
    </row>
    <row r="5" spans="1:11" x14ac:dyDescent="0.2">
      <c r="A5" s="4">
        <v>4</v>
      </c>
      <c r="B5" s="19">
        <v>2021</v>
      </c>
      <c r="C5" s="19">
        <v>3</v>
      </c>
      <c r="D5" t="str">
        <f>IFERROR(INDEX(tblClientes[Nombre Completo],MATCH(tblVehiculos[[#This Row],[Cliente Id]],tblClientes[Id],0)),"")</f>
        <v>Transportes Rapidos SA</v>
      </c>
      <c r="E5" s="16" t="s">
        <v>281</v>
      </c>
      <c r="F5" s="18">
        <v>46189.911111111112</v>
      </c>
      <c r="G5" s="16" t="s">
        <v>282</v>
      </c>
      <c r="H5" s="16" t="s">
        <v>283</v>
      </c>
      <c r="I5" s="16"/>
      <c r="J5" s="16" t="s">
        <v>284</v>
      </c>
      <c r="K5" s="16"/>
    </row>
    <row r="6" spans="1:11" x14ac:dyDescent="0.2">
      <c r="A6" s="4">
        <v>5</v>
      </c>
      <c r="B6" s="19">
        <v>2018</v>
      </c>
      <c r="C6" s="19">
        <v>3</v>
      </c>
      <c r="D6" t="str">
        <f>IFERROR(INDEX(tblClientes[Nombre Completo],MATCH(tblVehiculos[[#This Row],[Cliente Id]],tblClientes[Id],0)),"")</f>
        <v>Transportes Rapidos SA</v>
      </c>
      <c r="E6" s="16" t="s">
        <v>285</v>
      </c>
      <c r="F6" s="18">
        <v>46189.911111111112</v>
      </c>
      <c r="G6" s="16" t="s">
        <v>286</v>
      </c>
      <c r="H6" s="16" t="s">
        <v>287</v>
      </c>
      <c r="I6" s="16"/>
      <c r="J6" s="16" t="s">
        <v>288</v>
      </c>
      <c r="K6" s="16"/>
    </row>
    <row r="7" spans="1:11" x14ac:dyDescent="0.2">
      <c r="A7" s="6" t="s">
        <v>163</v>
      </c>
    </row>
  </sheetData>
  <sheetProtection sheet="1" scenarios="1" insertRows="0" deleteRows="0" sort="0" autoFilter="0"/>
  <dataValidations count="1">
    <dataValidation type="list" allowBlank="1" showInputMessage="1" showErrorMessage="1" errorTitle="Unknown reference" error="This value must match an existing Cliente." promptTitle="Cliente Id" prompt="Pick an existing Cliente. The lookup column shows its name." sqref="C2:C506" xr:uid="{00000000-0002-0000-0C00-000000000000}">
      <formula1>dv_vehiculos_cliente_id</formula1>
    </dataValidation>
  </dataValidations>
  <hyperlinks>
    <hyperlink ref="A7" location="Home!A1" display="Back to Home" xr:uid="{00000000-0004-0000-0C00-000000000000}"/>
  </hyperlinks>
  <pageMargins left="0.35" right="0.35" top="0.6" bottom="0.6" header="0.25" footer="0.25"/>
  <pageSetup paperSize="9" fitToHeight="0" orientation="landscape"/>
  <headerFooter>
    <oddFooter>&amp;LLlantera Aceites Inventario&amp;RPage &amp;P of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6" r:id="rId3" name="sfBtnNew">
              <controlPr defaultSize="0" print="0" autoFill="0" autoPict="0" macro="[0]!modEngine.NewRecord">
                <anchor moveWithCells="1" sizeWithCells="1">
                  <from>
                    <xdr:col>11</xdr:col>
                    <xdr:colOff>152400</xdr:colOff>
                    <xdr:row>0</xdr:row>
                    <xdr:rowOff>50800</xdr:rowOff>
                  </from>
                  <to>
                    <xdr:col>12</xdr:col>
                    <xdr:colOff>495300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4" name="sfBtnEdit">
              <controlPr defaultSize="0" print="0" autoFill="0" autoPict="0" macro="[0]!modEngine.EditRecord">
                <anchor moveWithCells="1" sizeWithCells="1">
                  <from>
                    <xdr:col>12</xdr:col>
                    <xdr:colOff>571500</xdr:colOff>
                    <xdr:row>0</xdr:row>
                    <xdr:rowOff>50800</xdr:rowOff>
                  </from>
                  <to>
                    <xdr:col>14</xdr:col>
                    <xdr:colOff>241300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5" name="sfBtnDelete">
              <controlPr defaultSize="0" print="0" autoFill="0" autoPict="0" macro="[0]!modEngine.DeleteSelectedRecord">
                <anchor moveWithCells="1" sizeWithCells="1">
                  <from>
                    <xdr:col>14</xdr:col>
                    <xdr:colOff>317500</xdr:colOff>
                    <xdr:row>0</xdr:row>
                    <xdr:rowOff>50800</xdr:rowOff>
                  </from>
                  <to>
                    <xdr:col>15</xdr:col>
                    <xdr:colOff>660400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6366F1"/>
    <pageSetUpPr fitToPage="1"/>
  </sheetPr>
  <dimension ref="A1:L6"/>
  <sheetViews>
    <sheetView zoomScale="90" zoomScaleNormal="90"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2" customWidth="1"/>
    <col min="2" max="7" width="22" customWidth="1"/>
    <col min="8" max="8" width="17" customWidth="1"/>
    <col min="9" max="9" width="22" customWidth="1"/>
    <col min="10" max="10" width="18" customWidth="1"/>
    <col min="11" max="12" width="22" customWidth="1"/>
  </cols>
  <sheetData>
    <row r="1" spans="1:12" ht="20" customHeight="1" x14ac:dyDescent="0.2">
      <c r="A1" s="1" t="s">
        <v>70</v>
      </c>
      <c r="B1" s="1" t="s">
        <v>103</v>
      </c>
      <c r="C1" s="1" t="s">
        <v>243</v>
      </c>
      <c r="D1" s="1" t="s">
        <v>289</v>
      </c>
      <c r="E1" s="1" t="s">
        <v>290</v>
      </c>
      <c r="F1" s="1" t="s">
        <v>291</v>
      </c>
      <c r="G1" s="1" t="s">
        <v>292</v>
      </c>
      <c r="H1" s="1" t="s">
        <v>171</v>
      </c>
      <c r="I1" s="1" t="s">
        <v>244</v>
      </c>
      <c r="J1" s="1" t="s">
        <v>293</v>
      </c>
      <c r="K1" s="1" t="s">
        <v>73</v>
      </c>
      <c r="L1" s="1" t="s">
        <v>104</v>
      </c>
    </row>
    <row r="2" spans="1:12" x14ac:dyDescent="0.2">
      <c r="A2" s="4">
        <v>1</v>
      </c>
      <c r="B2" s="16" t="s">
        <v>111</v>
      </c>
      <c r="C2" s="16" t="s">
        <v>294</v>
      </c>
      <c r="D2" s="16" t="s">
        <v>295</v>
      </c>
      <c r="E2" s="16" t="s">
        <v>296</v>
      </c>
      <c r="F2" s="16" t="s">
        <v>297</v>
      </c>
      <c r="G2" s="16" t="s">
        <v>298</v>
      </c>
      <c r="H2" s="18">
        <v>46189.911111111112</v>
      </c>
      <c r="I2" s="16"/>
      <c r="J2" s="19">
        <v>5</v>
      </c>
      <c r="K2" s="16" t="s">
        <v>299</v>
      </c>
      <c r="L2" s="16" t="s">
        <v>300</v>
      </c>
    </row>
    <row r="3" spans="1:12" x14ac:dyDescent="0.2">
      <c r="A3" s="4">
        <v>2</v>
      </c>
      <c r="B3" s="16" t="s">
        <v>111</v>
      </c>
      <c r="C3" s="16" t="s">
        <v>301</v>
      </c>
      <c r="D3" s="16" t="s">
        <v>302</v>
      </c>
      <c r="E3" s="16" t="s">
        <v>303</v>
      </c>
      <c r="F3" s="16" t="s">
        <v>304</v>
      </c>
      <c r="G3" s="16" t="s">
        <v>305</v>
      </c>
      <c r="H3" s="18">
        <v>46189.911111111112</v>
      </c>
      <c r="I3" s="16"/>
      <c r="J3" s="19">
        <v>10</v>
      </c>
      <c r="K3" s="16" t="s">
        <v>306</v>
      </c>
      <c r="L3" s="16" t="s">
        <v>307</v>
      </c>
    </row>
    <row r="4" spans="1:12" x14ac:dyDescent="0.2">
      <c r="A4" s="4">
        <v>3</v>
      </c>
      <c r="B4" s="16" t="s">
        <v>111</v>
      </c>
      <c r="C4" s="16" t="s">
        <v>308</v>
      </c>
      <c r="D4" s="16" t="s">
        <v>295</v>
      </c>
      <c r="E4" s="16" t="s">
        <v>309</v>
      </c>
      <c r="F4" s="16" t="s">
        <v>310</v>
      </c>
      <c r="G4" s="16" t="s">
        <v>311</v>
      </c>
      <c r="H4" s="18">
        <v>46189.911111111112</v>
      </c>
      <c r="I4" s="16"/>
      <c r="J4" s="19">
        <v>7</v>
      </c>
      <c r="K4" s="16" t="s">
        <v>312</v>
      </c>
      <c r="L4" s="16" t="s">
        <v>313</v>
      </c>
    </row>
    <row r="5" spans="1:12" x14ac:dyDescent="0.2">
      <c r="A5" s="4">
        <v>4</v>
      </c>
      <c r="B5" s="16" t="s">
        <v>111</v>
      </c>
      <c r="C5" s="16" t="s">
        <v>314</v>
      </c>
      <c r="D5" s="16" t="s">
        <v>315</v>
      </c>
      <c r="E5" s="16" t="s">
        <v>316</v>
      </c>
      <c r="F5" s="16" t="s">
        <v>317</v>
      </c>
      <c r="G5" s="16" t="s">
        <v>318</v>
      </c>
      <c r="H5" s="18">
        <v>46189.911111111112</v>
      </c>
      <c r="I5" s="16"/>
      <c r="J5" s="19">
        <v>3</v>
      </c>
      <c r="K5" s="16" t="s">
        <v>319</v>
      </c>
      <c r="L5" s="16" t="s">
        <v>320</v>
      </c>
    </row>
    <row r="6" spans="1:12" x14ac:dyDescent="0.2">
      <c r="A6" s="6" t="s">
        <v>163</v>
      </c>
    </row>
  </sheetData>
  <sheetProtection sheet="1" scenarios="1" insertRows="0" deleteRows="0" sort="0" autoFilter="0"/>
  <hyperlinks>
    <hyperlink ref="A6" location="Home!A1" display="Back to Home" xr:uid="{00000000-0004-0000-0D00-000000000000}"/>
  </hyperlinks>
  <pageMargins left="0.35" right="0.35" top="0.6" bottom="0.6" header="0.25" footer="0.25"/>
  <pageSetup paperSize="9" fitToHeight="0" orientation="landscape"/>
  <headerFooter>
    <oddFooter>&amp;LLlantera Aceites Inventario&amp;RPage &amp;P of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3" name="sfBtnNew">
              <controlPr defaultSize="0" print="0" autoFill="0" autoPict="0" macro="[0]!modEngine.NewRecord">
                <anchor moveWithCells="1" sizeWithCells="1">
                  <from>
                    <xdr:col>12</xdr:col>
                    <xdr:colOff>152400</xdr:colOff>
                    <xdr:row>0</xdr:row>
                    <xdr:rowOff>50800</xdr:rowOff>
                  </from>
                  <to>
                    <xdr:col>13</xdr:col>
                    <xdr:colOff>495300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4" name="sfBtnEdit">
              <controlPr defaultSize="0" print="0" autoFill="0" autoPict="0" macro="[0]!modEngine.EditRecord">
                <anchor moveWithCells="1" sizeWithCells="1">
                  <from>
                    <xdr:col>13</xdr:col>
                    <xdr:colOff>571500</xdr:colOff>
                    <xdr:row>0</xdr:row>
                    <xdr:rowOff>50800</xdr:rowOff>
                  </from>
                  <to>
                    <xdr:col>15</xdr:col>
                    <xdr:colOff>241300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sfBtnDelete">
              <controlPr defaultSize="0" print="0" autoFill="0" autoPict="0" macro="[0]!modEngine.DeleteSelectedRecord">
                <anchor moveWithCells="1" sizeWithCells="1">
                  <from>
                    <xdr:col>15</xdr:col>
                    <xdr:colOff>317500</xdr:colOff>
                    <xdr:row>0</xdr:row>
                    <xdr:rowOff>50800</xdr:rowOff>
                  </from>
                  <to>
                    <xdr:col>16</xdr:col>
                    <xdr:colOff>660400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6366F1"/>
    <pageSetUpPr fitToPage="1"/>
  </sheetPr>
  <dimension ref="A1:H9"/>
  <sheetViews>
    <sheetView zoomScale="90" zoomScaleNormal="90"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2" customWidth="1"/>
    <col min="2" max="2" width="22" customWidth="1"/>
    <col min="3" max="3" width="13" customWidth="1"/>
    <col min="4" max="4" width="22" customWidth="1"/>
    <col min="5" max="5" width="17" customWidth="1"/>
    <col min="6" max="8" width="22" customWidth="1"/>
  </cols>
  <sheetData>
    <row r="1" spans="1:8" ht="20" customHeight="1" x14ac:dyDescent="0.2">
      <c r="A1" s="1" t="s">
        <v>70</v>
      </c>
      <c r="B1" s="1" t="s">
        <v>103</v>
      </c>
      <c r="C1" s="1" t="s">
        <v>321</v>
      </c>
      <c r="D1" s="1" t="s">
        <v>243</v>
      </c>
      <c r="E1" s="1" t="s">
        <v>171</v>
      </c>
      <c r="F1" s="1" t="s">
        <v>322</v>
      </c>
      <c r="G1" s="1" t="s">
        <v>73</v>
      </c>
      <c r="H1" s="1" t="s">
        <v>323</v>
      </c>
    </row>
    <row r="2" spans="1:8" x14ac:dyDescent="0.2">
      <c r="A2" s="4">
        <v>1</v>
      </c>
      <c r="B2" s="16" t="s">
        <v>111</v>
      </c>
      <c r="C2" s="19">
        <v>50</v>
      </c>
      <c r="D2" s="16" t="s">
        <v>324</v>
      </c>
      <c r="E2" s="18">
        <v>46189.911111111112</v>
      </c>
      <c r="F2" s="16" t="s">
        <v>325</v>
      </c>
      <c r="G2" s="16" t="s">
        <v>326</v>
      </c>
      <c r="H2" s="16" t="s">
        <v>50</v>
      </c>
    </row>
    <row r="3" spans="1:8" x14ac:dyDescent="0.2">
      <c r="A3" s="4">
        <v>2</v>
      </c>
      <c r="B3" s="16" t="s">
        <v>111</v>
      </c>
      <c r="C3" s="19">
        <v>50</v>
      </c>
      <c r="D3" s="16" t="s">
        <v>327</v>
      </c>
      <c r="E3" s="18">
        <v>46189.911111111112</v>
      </c>
      <c r="F3" s="16" t="s">
        <v>328</v>
      </c>
      <c r="G3" s="16" t="s">
        <v>329</v>
      </c>
      <c r="H3" s="16" t="s">
        <v>50</v>
      </c>
    </row>
    <row r="4" spans="1:8" x14ac:dyDescent="0.2">
      <c r="A4" s="4">
        <v>3</v>
      </c>
      <c r="B4" s="16" t="s">
        <v>111</v>
      </c>
      <c r="C4" s="19">
        <v>50</v>
      </c>
      <c r="D4" s="16" t="s">
        <v>330</v>
      </c>
      <c r="E4" s="18">
        <v>46189.911111111112</v>
      </c>
      <c r="F4" s="16" t="s">
        <v>331</v>
      </c>
      <c r="G4" s="16" t="s">
        <v>332</v>
      </c>
      <c r="H4" s="16" t="s">
        <v>50</v>
      </c>
    </row>
    <row r="5" spans="1:8" x14ac:dyDescent="0.2">
      <c r="A5" s="4">
        <v>4</v>
      </c>
      <c r="B5" s="16" t="s">
        <v>111</v>
      </c>
      <c r="C5" s="19">
        <v>100</v>
      </c>
      <c r="D5" s="16" t="s">
        <v>333</v>
      </c>
      <c r="E5" s="18">
        <v>46189.911111111112</v>
      </c>
      <c r="F5" s="16" t="s">
        <v>334</v>
      </c>
      <c r="G5" s="16" t="s">
        <v>335</v>
      </c>
      <c r="H5" s="16" t="s">
        <v>51</v>
      </c>
    </row>
    <row r="6" spans="1:8" x14ac:dyDescent="0.2">
      <c r="A6" s="4">
        <v>5</v>
      </c>
      <c r="B6" s="16" t="s">
        <v>111</v>
      </c>
      <c r="C6" s="19">
        <v>100</v>
      </c>
      <c r="D6" s="16" t="s">
        <v>336</v>
      </c>
      <c r="E6" s="18">
        <v>46189.911111111112</v>
      </c>
      <c r="F6" s="16" t="s">
        <v>334</v>
      </c>
      <c r="G6" s="16" t="s">
        <v>337</v>
      </c>
      <c r="H6" s="16" t="s">
        <v>51</v>
      </c>
    </row>
    <row r="7" spans="1:8" x14ac:dyDescent="0.2">
      <c r="A7" s="4">
        <v>6</v>
      </c>
      <c r="B7" s="16" t="s">
        <v>111</v>
      </c>
      <c r="C7" s="19">
        <v>20</v>
      </c>
      <c r="D7" s="16" t="s">
        <v>338</v>
      </c>
      <c r="E7" s="18">
        <v>46189.911111111112</v>
      </c>
      <c r="F7" s="16" t="s">
        <v>339</v>
      </c>
      <c r="G7" s="16" t="s">
        <v>340</v>
      </c>
      <c r="H7" s="16" t="s">
        <v>340</v>
      </c>
    </row>
    <row r="8" spans="1:8" x14ac:dyDescent="0.2">
      <c r="A8" s="4">
        <v>7</v>
      </c>
      <c r="B8" s="16" t="s">
        <v>111</v>
      </c>
      <c r="C8" s="19">
        <v>500</v>
      </c>
      <c r="D8" s="16" t="s">
        <v>341</v>
      </c>
      <c r="E8" s="18">
        <v>46189.911111111112</v>
      </c>
      <c r="F8" s="16" t="s">
        <v>342</v>
      </c>
      <c r="G8" s="16" t="s">
        <v>343</v>
      </c>
      <c r="H8" s="16" t="s">
        <v>344</v>
      </c>
    </row>
    <row r="9" spans="1:8" x14ac:dyDescent="0.2">
      <c r="A9" s="6" t="s">
        <v>163</v>
      </c>
    </row>
  </sheetData>
  <sheetProtection sheet="1" scenarios="1" insertRows="0" deleteRows="0" sort="0" autoFilter="0"/>
  <hyperlinks>
    <hyperlink ref="A9" location="Home!A1" display="Back to Home" xr:uid="{00000000-0004-0000-0E00-000000000000}"/>
  </hyperlinks>
  <pageMargins left="0.35" right="0.35" top="0.6" bottom="0.6" header="0.25" footer="0.25"/>
  <pageSetup paperSize="9" fitToHeight="0" orientation="landscape"/>
  <headerFooter>
    <oddFooter>&amp;LLlantera Aceites Inventario&amp;RPage &amp;P of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3" name="sfBtnNew">
              <controlPr defaultSize="0" print="0" autoFill="0" autoPict="0" macro="[0]!modEngine.NewRecord">
                <anchor moveWithCells="1" sizeWithCells="1">
                  <from>
                    <xdr:col>8</xdr:col>
                    <xdr:colOff>152400</xdr:colOff>
                    <xdr:row>0</xdr:row>
                    <xdr:rowOff>50800</xdr:rowOff>
                  </from>
                  <to>
                    <xdr:col>9</xdr:col>
                    <xdr:colOff>495300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4" name="sfBtnEdit">
              <controlPr defaultSize="0" print="0" autoFill="0" autoPict="0" macro="[0]!modEngine.EditRecord">
                <anchor moveWithCells="1" sizeWithCells="1">
                  <from>
                    <xdr:col>9</xdr:col>
                    <xdr:colOff>571500</xdr:colOff>
                    <xdr:row>0</xdr:row>
                    <xdr:rowOff>50800</xdr:rowOff>
                  </from>
                  <to>
                    <xdr:col>11</xdr:col>
                    <xdr:colOff>241300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sfBtnDelete">
              <controlPr defaultSize="0" print="0" autoFill="0" autoPict="0" macro="[0]!modEngine.DeleteSelectedRecord">
                <anchor moveWithCells="1" sizeWithCells="1">
                  <from>
                    <xdr:col>11</xdr:col>
                    <xdr:colOff>317500</xdr:colOff>
                    <xdr:row>0</xdr:row>
                    <xdr:rowOff>50800</xdr:rowOff>
                  </from>
                  <to>
                    <xdr:col>12</xdr:col>
                    <xdr:colOff>660400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6366F1"/>
    <pageSetUpPr fitToPage="1"/>
  </sheetPr>
  <dimension ref="A1:D6"/>
  <sheetViews>
    <sheetView zoomScale="90" zoomScaleNormal="90"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2" customWidth="1"/>
    <col min="2" max="4" width="22" customWidth="1"/>
  </cols>
  <sheetData>
    <row r="1" spans="1:4" ht="20" customHeight="1" x14ac:dyDescent="0.2">
      <c r="A1" s="1" t="s">
        <v>70</v>
      </c>
      <c r="B1" s="1" t="s">
        <v>103</v>
      </c>
      <c r="C1" s="1" t="s">
        <v>322</v>
      </c>
      <c r="D1" s="1" t="s">
        <v>73</v>
      </c>
    </row>
    <row r="2" spans="1:4" x14ac:dyDescent="0.2">
      <c r="A2" s="4">
        <v>1</v>
      </c>
      <c r="B2" s="16" t="s">
        <v>111</v>
      </c>
      <c r="C2" s="16" t="s">
        <v>345</v>
      </c>
      <c r="D2" s="16" t="s">
        <v>50</v>
      </c>
    </row>
    <row r="3" spans="1:4" x14ac:dyDescent="0.2">
      <c r="A3" s="4">
        <v>2</v>
      </c>
      <c r="B3" s="16" t="s">
        <v>111</v>
      </c>
      <c r="C3" s="16" t="s">
        <v>346</v>
      </c>
      <c r="D3" s="16" t="s">
        <v>51</v>
      </c>
    </row>
    <row r="4" spans="1:4" x14ac:dyDescent="0.2">
      <c r="A4" s="4">
        <v>3</v>
      </c>
      <c r="B4" s="16" t="s">
        <v>111</v>
      </c>
      <c r="C4" s="16" t="s">
        <v>347</v>
      </c>
      <c r="D4" s="16" t="s">
        <v>52</v>
      </c>
    </row>
    <row r="5" spans="1:4" x14ac:dyDescent="0.2">
      <c r="A5" s="4">
        <v>4</v>
      </c>
      <c r="B5" s="16" t="s">
        <v>111</v>
      </c>
      <c r="C5" s="16" t="s">
        <v>348</v>
      </c>
      <c r="D5" s="16" t="s">
        <v>53</v>
      </c>
    </row>
    <row r="6" spans="1:4" x14ac:dyDescent="0.2">
      <c r="A6" s="6" t="s">
        <v>163</v>
      </c>
    </row>
  </sheetData>
  <sheetProtection sheet="1" scenarios="1" insertRows="0" deleteRows="0" sort="0" autoFilter="0"/>
  <hyperlinks>
    <hyperlink ref="A6" location="Home!A1" display="Back to Home" xr:uid="{00000000-0004-0000-0F00-000000000000}"/>
  </hyperlinks>
  <pageMargins left="0.35" right="0.35" top="0.6" bottom="0.6" header="0.25" footer="0.25"/>
  <pageSetup paperSize="9" fitToHeight="0" orientation="portrait"/>
  <headerFooter>
    <oddFooter>&amp;LLlantera Aceites Inventario&amp;RPage &amp;P of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3" name="sfBtnNew">
              <controlPr defaultSize="0" print="0" autoFill="0" autoPict="0" macro="[0]!modEngine.NewRecord">
                <anchor moveWithCells="1" sizeWithCells="1">
                  <from>
                    <xdr:col>4</xdr:col>
                    <xdr:colOff>152400</xdr:colOff>
                    <xdr:row>0</xdr:row>
                    <xdr:rowOff>50800</xdr:rowOff>
                  </from>
                  <to>
                    <xdr:col>5</xdr:col>
                    <xdr:colOff>495300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4" name="sfBtnEdit">
              <controlPr defaultSize="0" print="0" autoFill="0" autoPict="0" macro="[0]!modEngine.EditRecord">
                <anchor moveWithCells="1" sizeWithCells="1">
                  <from>
                    <xdr:col>5</xdr:col>
                    <xdr:colOff>571500</xdr:colOff>
                    <xdr:row>0</xdr:row>
                    <xdr:rowOff>50800</xdr:rowOff>
                  </from>
                  <to>
                    <xdr:col>7</xdr:col>
                    <xdr:colOff>241300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5" name="sfBtnDelete">
              <controlPr defaultSize="0" print="0" autoFill="0" autoPict="0" macro="[0]!modEngine.DeleteSelectedRecord">
                <anchor moveWithCells="1" sizeWithCells="1">
                  <from>
                    <xdr:col>7</xdr:col>
                    <xdr:colOff>317500</xdr:colOff>
                    <xdr:row>0</xdr:row>
                    <xdr:rowOff>50800</xdr:rowOff>
                  </from>
                  <to>
                    <xdr:col>8</xdr:col>
                    <xdr:colOff>660400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6366F1"/>
    <pageSetUpPr fitToPage="1"/>
  </sheetPr>
  <dimension ref="A1:C10"/>
  <sheetViews>
    <sheetView zoomScale="90" zoomScaleNormal="90"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2" customWidth="1"/>
    <col min="2" max="3" width="22" customWidth="1"/>
  </cols>
  <sheetData>
    <row r="1" spans="1:3" ht="20" customHeight="1" x14ac:dyDescent="0.2">
      <c r="A1" s="1" t="s">
        <v>70</v>
      </c>
      <c r="B1" s="1" t="s">
        <v>103</v>
      </c>
      <c r="C1" s="1" t="s">
        <v>73</v>
      </c>
    </row>
    <row r="2" spans="1:3" x14ac:dyDescent="0.2">
      <c r="A2" s="4">
        <v>1</v>
      </c>
      <c r="B2" s="16" t="s">
        <v>111</v>
      </c>
      <c r="C2" s="16" t="s">
        <v>349</v>
      </c>
    </row>
    <row r="3" spans="1:3" x14ac:dyDescent="0.2">
      <c r="A3" s="4">
        <v>2</v>
      </c>
      <c r="B3" s="16" t="s">
        <v>111</v>
      </c>
      <c r="C3" s="16" t="s">
        <v>350</v>
      </c>
    </row>
    <row r="4" spans="1:3" x14ac:dyDescent="0.2">
      <c r="A4" s="4">
        <v>3</v>
      </c>
      <c r="B4" s="16" t="s">
        <v>111</v>
      </c>
      <c r="C4" s="16" t="s">
        <v>351</v>
      </c>
    </row>
    <row r="5" spans="1:3" x14ac:dyDescent="0.2">
      <c r="A5" s="4">
        <v>4</v>
      </c>
      <c r="B5" s="16" t="s">
        <v>111</v>
      </c>
      <c r="C5" s="16" t="s">
        <v>352</v>
      </c>
    </row>
    <row r="6" spans="1:3" x14ac:dyDescent="0.2">
      <c r="A6" s="4">
        <v>5</v>
      </c>
      <c r="B6" s="16" t="s">
        <v>111</v>
      </c>
      <c r="C6" s="16" t="s">
        <v>353</v>
      </c>
    </row>
    <row r="7" spans="1:3" x14ac:dyDescent="0.2">
      <c r="A7" s="4">
        <v>6</v>
      </c>
      <c r="B7" s="16" t="s">
        <v>111</v>
      </c>
      <c r="C7" s="16" t="s">
        <v>354</v>
      </c>
    </row>
    <row r="8" spans="1:3" x14ac:dyDescent="0.2">
      <c r="A8" s="4">
        <v>7</v>
      </c>
      <c r="B8" s="16" t="s">
        <v>111</v>
      </c>
      <c r="C8" s="16" t="s">
        <v>355</v>
      </c>
    </row>
    <row r="9" spans="1:3" x14ac:dyDescent="0.2">
      <c r="A9" s="4">
        <v>8</v>
      </c>
      <c r="B9" s="16" t="s">
        <v>111</v>
      </c>
      <c r="C9" s="16" t="s">
        <v>356</v>
      </c>
    </row>
    <row r="10" spans="1:3" x14ac:dyDescent="0.2">
      <c r="A10" s="6" t="s">
        <v>163</v>
      </c>
    </row>
  </sheetData>
  <sheetProtection sheet="1" scenarios="1" insertRows="0" deleteRows="0" sort="0" autoFilter="0"/>
  <hyperlinks>
    <hyperlink ref="A10" location="Home!A1" display="Back to Home" xr:uid="{00000000-0004-0000-1000-000000000000}"/>
  </hyperlinks>
  <pageMargins left="0.35" right="0.35" top="0.6" bottom="0.6" header="0.25" footer="0.25"/>
  <pageSetup paperSize="9" fitToHeight="0" orientation="portrait"/>
  <headerFooter>
    <oddFooter>&amp;LLlantera Aceites Inventario&amp;RPage &amp;P of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3" name="sfBtnNew">
              <controlPr defaultSize="0" print="0" autoFill="0" autoPict="0" macro="[0]!modEngine.NewRecord">
                <anchor moveWithCells="1" sizeWithCells="1">
                  <from>
                    <xdr:col>3</xdr:col>
                    <xdr:colOff>152400</xdr:colOff>
                    <xdr:row>0</xdr:row>
                    <xdr:rowOff>50800</xdr:rowOff>
                  </from>
                  <to>
                    <xdr:col>4</xdr:col>
                    <xdr:colOff>495300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4" name="sfBtnEdit">
              <controlPr defaultSize="0" print="0" autoFill="0" autoPict="0" macro="[0]!modEngine.EditRecord">
                <anchor moveWithCells="1" sizeWithCells="1">
                  <from>
                    <xdr:col>4</xdr:col>
                    <xdr:colOff>571500</xdr:colOff>
                    <xdr:row>0</xdr:row>
                    <xdr:rowOff>50800</xdr:rowOff>
                  </from>
                  <to>
                    <xdr:col>6</xdr:col>
                    <xdr:colOff>241300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5" name="sfBtnDelete">
              <controlPr defaultSize="0" print="0" autoFill="0" autoPict="0" macro="[0]!modEngine.DeleteSelectedRecord">
                <anchor moveWithCells="1" sizeWithCells="1">
                  <from>
                    <xdr:col>6</xdr:col>
                    <xdr:colOff>317500</xdr:colOff>
                    <xdr:row>0</xdr:row>
                    <xdr:rowOff>50800</xdr:rowOff>
                  </from>
                  <to>
                    <xdr:col>7</xdr:col>
                    <xdr:colOff>660400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6366F1"/>
    <pageSetUpPr fitToPage="1"/>
  </sheetPr>
  <dimension ref="A1:C8"/>
  <sheetViews>
    <sheetView zoomScale="90" zoomScaleNormal="90"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2" customWidth="1"/>
    <col min="2" max="3" width="22" customWidth="1"/>
  </cols>
  <sheetData>
    <row r="1" spans="1:3" ht="20" customHeight="1" x14ac:dyDescent="0.2">
      <c r="A1" s="1" t="s">
        <v>70</v>
      </c>
      <c r="B1" s="1" t="s">
        <v>357</v>
      </c>
      <c r="C1" s="1" t="s">
        <v>73</v>
      </c>
    </row>
    <row r="2" spans="1:3" x14ac:dyDescent="0.2">
      <c r="A2" s="4">
        <v>1</v>
      </c>
      <c r="B2" s="16" t="s">
        <v>358</v>
      </c>
      <c r="C2" s="16" t="s">
        <v>359</v>
      </c>
    </row>
    <row r="3" spans="1:3" x14ac:dyDescent="0.2">
      <c r="A3" s="4">
        <v>2</v>
      </c>
      <c r="B3" s="16" t="s">
        <v>360</v>
      </c>
      <c r="C3" s="16" t="s">
        <v>361</v>
      </c>
    </row>
    <row r="4" spans="1:3" x14ac:dyDescent="0.2">
      <c r="A4" s="4">
        <v>3</v>
      </c>
      <c r="B4" s="16" t="s">
        <v>362</v>
      </c>
      <c r="C4" s="16" t="s">
        <v>363</v>
      </c>
    </row>
    <row r="5" spans="1:3" x14ac:dyDescent="0.2">
      <c r="A5" s="4">
        <v>4</v>
      </c>
      <c r="B5" s="16" t="s">
        <v>364</v>
      </c>
      <c r="C5" s="16" t="s">
        <v>365</v>
      </c>
    </row>
    <row r="6" spans="1:3" x14ac:dyDescent="0.2">
      <c r="A6" s="4">
        <v>5</v>
      </c>
      <c r="B6" s="16" t="s">
        <v>366</v>
      </c>
      <c r="C6" s="16" t="s">
        <v>367</v>
      </c>
    </row>
    <row r="7" spans="1:3" x14ac:dyDescent="0.2">
      <c r="A7" s="4">
        <v>6</v>
      </c>
      <c r="B7" s="16" t="s">
        <v>368</v>
      </c>
      <c r="C7" s="16" t="s">
        <v>369</v>
      </c>
    </row>
    <row r="8" spans="1:3" x14ac:dyDescent="0.2">
      <c r="A8" s="6" t="s">
        <v>163</v>
      </c>
    </row>
  </sheetData>
  <sheetProtection sheet="1" scenarios="1" insertRows="0" deleteRows="0" sort="0" autoFilter="0"/>
  <hyperlinks>
    <hyperlink ref="A8" location="Home!A1" display="Back to Home" xr:uid="{00000000-0004-0000-1100-000000000000}"/>
  </hyperlinks>
  <pageMargins left="0.35" right="0.35" top="0.6" bottom="0.6" header="0.25" footer="0.25"/>
  <pageSetup paperSize="9" fitToHeight="0" orientation="portrait"/>
  <headerFooter>
    <oddFooter>&amp;LLlantera Aceites Inventario&amp;RPage &amp;P of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4" r:id="rId3" name="sfBtnNew">
              <controlPr defaultSize="0" print="0" autoFill="0" autoPict="0" macro="[0]!modEngine.NewRecord">
                <anchor moveWithCells="1" sizeWithCells="1">
                  <from>
                    <xdr:col>3</xdr:col>
                    <xdr:colOff>152400</xdr:colOff>
                    <xdr:row>0</xdr:row>
                    <xdr:rowOff>50800</xdr:rowOff>
                  </from>
                  <to>
                    <xdr:col>4</xdr:col>
                    <xdr:colOff>495300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4" name="sfBtnEdit">
              <controlPr defaultSize="0" print="0" autoFill="0" autoPict="0" macro="[0]!modEngine.EditRecord">
                <anchor moveWithCells="1" sizeWithCells="1">
                  <from>
                    <xdr:col>4</xdr:col>
                    <xdr:colOff>571500</xdr:colOff>
                    <xdr:row>0</xdr:row>
                    <xdr:rowOff>50800</xdr:rowOff>
                  </from>
                  <to>
                    <xdr:col>6</xdr:col>
                    <xdr:colOff>241300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5" name="sfBtnDelete">
              <controlPr defaultSize="0" print="0" autoFill="0" autoPict="0" macro="[0]!modEngine.DeleteSelectedRecord">
                <anchor moveWithCells="1" sizeWithCells="1">
                  <from>
                    <xdr:col>6</xdr:col>
                    <xdr:colOff>317500</xdr:colOff>
                    <xdr:row>0</xdr:row>
                    <xdr:rowOff>50800</xdr:rowOff>
                  </from>
                  <to>
                    <xdr:col>7</xdr:col>
                    <xdr:colOff>660400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7C3AED"/>
    <pageSetUpPr fitToPage="1"/>
  </sheetPr>
  <dimension ref="A1:H17"/>
  <sheetViews>
    <sheetView showGridLines="0" zoomScale="90" zoomScaleNormal="90"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22" customWidth="1"/>
    <col min="2" max="2" width="38" customWidth="1"/>
    <col min="3" max="3" width="24" customWidth="1"/>
    <col min="4" max="4" width="12" customWidth="1"/>
    <col min="5" max="8" width="16" customWidth="1"/>
  </cols>
  <sheetData>
    <row r="1" spans="1:8" ht="20" customHeight="1" x14ac:dyDescent="0.2">
      <c r="A1" s="1" t="s">
        <v>370</v>
      </c>
      <c r="B1" s="1" t="s">
        <v>371</v>
      </c>
      <c r="C1" s="1" t="s">
        <v>372</v>
      </c>
      <c r="D1" s="1" t="s">
        <v>373</v>
      </c>
      <c r="E1" s="1" t="s">
        <v>374</v>
      </c>
      <c r="F1" s="1" t="s">
        <v>375</v>
      </c>
      <c r="G1" s="1" t="s">
        <v>376</v>
      </c>
      <c r="H1" s="1" t="s">
        <v>377</v>
      </c>
    </row>
    <row r="2" spans="1:8" x14ac:dyDescent="0.2">
      <c r="A2" t="s">
        <v>50</v>
      </c>
      <c r="B2" t="s">
        <v>59</v>
      </c>
      <c r="C2" t="s">
        <v>326</v>
      </c>
      <c r="D2" s="4">
        <v>12</v>
      </c>
      <c r="E2" s="4">
        <v>1850</v>
      </c>
      <c r="F2" s="4">
        <v>22200</v>
      </c>
      <c r="G2" s="4">
        <v>2450</v>
      </c>
      <c r="H2" s="4">
        <v>29400</v>
      </c>
    </row>
    <row r="3" spans="1:8" x14ac:dyDescent="0.2">
      <c r="A3" t="s">
        <v>50</v>
      </c>
      <c r="B3" t="s">
        <v>56</v>
      </c>
      <c r="C3" t="s">
        <v>326</v>
      </c>
      <c r="D3" s="4">
        <v>8</v>
      </c>
      <c r="E3" s="4">
        <v>2100</v>
      </c>
      <c r="F3" s="4">
        <v>16800</v>
      </c>
      <c r="G3" s="4">
        <v>2890</v>
      </c>
      <c r="H3" s="4">
        <v>23120</v>
      </c>
    </row>
    <row r="4" spans="1:8" x14ac:dyDescent="0.2">
      <c r="A4" t="s">
        <v>50</v>
      </c>
      <c r="B4" t="s">
        <v>67</v>
      </c>
      <c r="C4" t="s">
        <v>326</v>
      </c>
      <c r="D4" s="4">
        <v>6</v>
      </c>
      <c r="E4" s="4">
        <v>2450</v>
      </c>
      <c r="F4" s="4">
        <v>14700</v>
      </c>
      <c r="G4" s="4">
        <v>3290</v>
      </c>
      <c r="H4" s="4">
        <v>19740</v>
      </c>
    </row>
    <row r="5" spans="1:8" x14ac:dyDescent="0.2">
      <c r="A5" t="s">
        <v>50</v>
      </c>
      <c r="B5" t="s">
        <v>65</v>
      </c>
      <c r="C5" t="s">
        <v>329</v>
      </c>
      <c r="D5" s="4">
        <v>4</v>
      </c>
      <c r="E5" s="4">
        <v>1650</v>
      </c>
      <c r="F5" s="4">
        <v>6600</v>
      </c>
      <c r="G5" s="4">
        <v>2290</v>
      </c>
      <c r="H5" s="4">
        <v>9160</v>
      </c>
    </row>
    <row r="6" spans="1:8" x14ac:dyDescent="0.2">
      <c r="A6" t="s">
        <v>50</v>
      </c>
      <c r="B6" t="s">
        <v>66</v>
      </c>
      <c r="C6" t="s">
        <v>332</v>
      </c>
      <c r="D6" s="4">
        <v>10</v>
      </c>
      <c r="E6" s="4">
        <v>3100</v>
      </c>
      <c r="F6" s="4">
        <v>31000</v>
      </c>
      <c r="G6" s="4">
        <v>4290</v>
      </c>
      <c r="H6" s="4">
        <v>42900</v>
      </c>
    </row>
    <row r="7" spans="1:8" x14ac:dyDescent="0.2">
      <c r="A7" t="s">
        <v>51</v>
      </c>
      <c r="B7" t="s">
        <v>62</v>
      </c>
      <c r="C7" t="s">
        <v>335</v>
      </c>
      <c r="D7" s="4">
        <v>35</v>
      </c>
      <c r="E7" s="4">
        <v>950</v>
      </c>
      <c r="F7" s="4">
        <v>33250</v>
      </c>
      <c r="G7" s="4">
        <v>1290</v>
      </c>
      <c r="H7" s="4">
        <v>45150</v>
      </c>
    </row>
    <row r="8" spans="1:8" x14ac:dyDescent="0.2">
      <c r="A8" t="s">
        <v>51</v>
      </c>
      <c r="B8" t="s">
        <v>63</v>
      </c>
      <c r="C8" t="s">
        <v>335</v>
      </c>
      <c r="D8" s="4">
        <v>22</v>
      </c>
      <c r="E8" s="4">
        <v>620</v>
      </c>
      <c r="F8" s="4">
        <v>13640</v>
      </c>
      <c r="G8" s="4">
        <v>870</v>
      </c>
      <c r="H8" s="4">
        <v>19140</v>
      </c>
    </row>
    <row r="9" spans="1:8" x14ac:dyDescent="0.2">
      <c r="A9" t="s">
        <v>51</v>
      </c>
      <c r="B9" t="s">
        <v>68</v>
      </c>
      <c r="C9" t="s">
        <v>337</v>
      </c>
      <c r="D9" s="4">
        <v>18</v>
      </c>
      <c r="E9" s="4">
        <v>780</v>
      </c>
      <c r="F9" s="4">
        <v>14040</v>
      </c>
      <c r="G9" s="4">
        <v>1090</v>
      </c>
      <c r="H9" s="4">
        <v>19620</v>
      </c>
    </row>
    <row r="10" spans="1:8" x14ac:dyDescent="0.2">
      <c r="A10" t="s">
        <v>51</v>
      </c>
      <c r="B10" t="s">
        <v>61</v>
      </c>
      <c r="C10" t="s">
        <v>335</v>
      </c>
      <c r="D10" s="4">
        <v>40</v>
      </c>
      <c r="E10" s="4">
        <v>240</v>
      </c>
      <c r="F10" s="4">
        <v>9600</v>
      </c>
      <c r="G10" s="4">
        <v>340</v>
      </c>
      <c r="H10" s="4">
        <v>13600</v>
      </c>
    </row>
    <row r="11" spans="1:8" x14ac:dyDescent="0.2">
      <c r="A11" t="s">
        <v>51</v>
      </c>
      <c r="B11" t="s">
        <v>64</v>
      </c>
      <c r="C11" t="s">
        <v>337</v>
      </c>
      <c r="D11" s="4">
        <v>14</v>
      </c>
      <c r="E11" s="4">
        <v>280</v>
      </c>
      <c r="F11" s="4">
        <v>3920</v>
      </c>
      <c r="G11" s="4">
        <v>390</v>
      </c>
      <c r="H11" s="4">
        <v>5460</v>
      </c>
    </row>
    <row r="12" spans="1:8" x14ac:dyDescent="0.2">
      <c r="A12" t="s">
        <v>52</v>
      </c>
      <c r="B12" t="s">
        <v>58</v>
      </c>
      <c r="C12" t="s">
        <v>340</v>
      </c>
      <c r="D12" s="4">
        <v>50</v>
      </c>
      <c r="E12" s="4">
        <v>95</v>
      </c>
      <c r="F12" s="4">
        <v>4750</v>
      </c>
      <c r="G12" s="4">
        <v>145</v>
      </c>
      <c r="H12" s="4">
        <v>7250</v>
      </c>
    </row>
    <row r="13" spans="1:8" x14ac:dyDescent="0.2">
      <c r="A13" s="12" t="s">
        <v>209</v>
      </c>
      <c r="B13" s="12"/>
      <c r="C13" s="12"/>
      <c r="D13" s="4">
        <f>SUBTOTAL(109,D2:D12)</f>
        <v>219</v>
      </c>
      <c r="E13" s="12"/>
      <c r="F13" s="5">
        <f>SUBTOTAL(109,F2:F12)</f>
        <v>170500</v>
      </c>
      <c r="G13" s="12"/>
      <c r="H13" s="5">
        <f>SUBTOTAL(109,H2:H12)</f>
        <v>234540</v>
      </c>
    </row>
    <row r="15" spans="1:8" x14ac:dyDescent="0.2">
      <c r="A15" s="7" t="s">
        <v>378</v>
      </c>
    </row>
    <row r="16" spans="1:8" x14ac:dyDescent="0.2">
      <c r="A16" s="7" t="s">
        <v>379</v>
      </c>
    </row>
    <row r="17" spans="1:1" x14ac:dyDescent="0.2">
      <c r="A17" s="6" t="s">
        <v>163</v>
      </c>
    </row>
  </sheetData>
  <hyperlinks>
    <hyperlink ref="A17" location="Home!A1" display="Back to Home" xr:uid="{00000000-0004-0000-1200-000000000000}"/>
  </hyperlinks>
  <pageMargins left="0.35" right="0.35" top="0.6" bottom="0.6" header="0.25" footer="0.25"/>
  <pageSetup paperSize="9" fitToHeight="0" orientation="landscape"/>
  <headerFooter>
    <oddFooter>&amp;LLlantera Aceites Inventario&amp;RPage &amp;P of &amp;N</oddFooter>
  </headerFooter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tabColor rgb="FF7C3AED"/>
    <pageSetUpPr fitToPage="1"/>
  </sheetPr>
  <dimension ref="A1:H17"/>
  <sheetViews>
    <sheetView showGridLines="0" zoomScale="90" zoomScaleNormal="90"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22" customWidth="1"/>
    <col min="2" max="2" width="38" customWidth="1"/>
    <col min="3" max="3" width="18" customWidth="1"/>
    <col min="4" max="4" width="12" customWidth="1"/>
    <col min="5" max="8" width="16" customWidth="1"/>
  </cols>
  <sheetData>
    <row r="1" spans="1:8" ht="20" customHeight="1" x14ac:dyDescent="0.2">
      <c r="A1" s="1" t="s">
        <v>370</v>
      </c>
      <c r="B1" s="1" t="s">
        <v>371</v>
      </c>
      <c r="C1" s="1" t="s">
        <v>380</v>
      </c>
      <c r="D1" s="1" t="s">
        <v>373</v>
      </c>
      <c r="E1" s="1" t="s">
        <v>374</v>
      </c>
      <c r="F1" s="1" t="s">
        <v>375</v>
      </c>
      <c r="G1" s="1" t="s">
        <v>376</v>
      </c>
      <c r="H1" s="1" t="s">
        <v>377</v>
      </c>
    </row>
    <row r="2" spans="1:8" x14ac:dyDescent="0.2">
      <c r="A2" t="s">
        <v>50</v>
      </c>
      <c r="B2" t="s">
        <v>59</v>
      </c>
      <c r="C2" t="s">
        <v>106</v>
      </c>
      <c r="D2" s="4">
        <v>12</v>
      </c>
      <c r="E2" s="4">
        <v>1850</v>
      </c>
      <c r="F2" s="4">
        <v>22200</v>
      </c>
      <c r="G2" s="4">
        <v>2450</v>
      </c>
      <c r="H2" s="4">
        <v>29400</v>
      </c>
    </row>
    <row r="3" spans="1:8" x14ac:dyDescent="0.2">
      <c r="A3" t="s">
        <v>50</v>
      </c>
      <c r="B3" t="s">
        <v>56</v>
      </c>
      <c r="C3" t="s">
        <v>113</v>
      </c>
      <c r="D3" s="4">
        <v>8</v>
      </c>
      <c r="E3" s="4">
        <v>2100</v>
      </c>
      <c r="F3" s="4">
        <v>16800</v>
      </c>
      <c r="G3" s="4">
        <v>2890</v>
      </c>
      <c r="H3" s="4">
        <v>23120</v>
      </c>
    </row>
    <row r="4" spans="1:8" x14ac:dyDescent="0.2">
      <c r="A4" t="s">
        <v>50</v>
      </c>
      <c r="B4" t="s">
        <v>67</v>
      </c>
      <c r="C4" t="s">
        <v>116</v>
      </c>
      <c r="D4" s="4">
        <v>6</v>
      </c>
      <c r="E4" s="4">
        <v>2450</v>
      </c>
      <c r="F4" s="4">
        <v>14700</v>
      </c>
      <c r="G4" s="4">
        <v>3290</v>
      </c>
      <c r="H4" s="4">
        <v>19740</v>
      </c>
    </row>
    <row r="5" spans="1:8" x14ac:dyDescent="0.2">
      <c r="A5" t="s">
        <v>50</v>
      </c>
      <c r="B5" t="s">
        <v>65</v>
      </c>
      <c r="C5" t="s">
        <v>120</v>
      </c>
      <c r="D5" s="4">
        <v>4</v>
      </c>
      <c r="E5" s="4">
        <v>1650</v>
      </c>
      <c r="F5" s="4">
        <v>6600</v>
      </c>
      <c r="G5" s="4">
        <v>2290</v>
      </c>
      <c r="H5" s="4">
        <v>9160</v>
      </c>
    </row>
    <row r="6" spans="1:8" x14ac:dyDescent="0.2">
      <c r="A6" t="s">
        <v>50</v>
      </c>
      <c r="B6" t="s">
        <v>66</v>
      </c>
      <c r="C6" t="s">
        <v>125</v>
      </c>
      <c r="D6" s="4">
        <v>10</v>
      </c>
      <c r="E6" s="4">
        <v>3100</v>
      </c>
      <c r="F6" s="4">
        <v>31000</v>
      </c>
      <c r="G6" s="4">
        <v>4290</v>
      </c>
      <c r="H6" s="4">
        <v>42900</v>
      </c>
    </row>
    <row r="7" spans="1:8" x14ac:dyDescent="0.2">
      <c r="A7" t="s">
        <v>51</v>
      </c>
      <c r="B7" t="s">
        <v>62</v>
      </c>
      <c r="C7" t="s">
        <v>129</v>
      </c>
      <c r="D7" s="4">
        <v>35</v>
      </c>
      <c r="E7" s="4">
        <v>950</v>
      </c>
      <c r="F7" s="4">
        <v>33250</v>
      </c>
      <c r="G7" s="4">
        <v>1290</v>
      </c>
      <c r="H7" s="4">
        <v>45150</v>
      </c>
    </row>
    <row r="8" spans="1:8" x14ac:dyDescent="0.2">
      <c r="A8" t="s">
        <v>51</v>
      </c>
      <c r="B8" t="s">
        <v>63</v>
      </c>
      <c r="C8" t="s">
        <v>136</v>
      </c>
      <c r="D8" s="4">
        <v>22</v>
      </c>
      <c r="E8" s="4">
        <v>620</v>
      </c>
      <c r="F8" s="4">
        <v>13640</v>
      </c>
      <c r="G8" s="4">
        <v>870</v>
      </c>
      <c r="H8" s="4">
        <v>19140</v>
      </c>
    </row>
    <row r="9" spans="1:8" x14ac:dyDescent="0.2">
      <c r="A9" t="s">
        <v>51</v>
      </c>
      <c r="B9" t="s">
        <v>68</v>
      </c>
      <c r="C9" t="s">
        <v>142</v>
      </c>
      <c r="D9" s="4">
        <v>18</v>
      </c>
      <c r="E9" s="4">
        <v>780</v>
      </c>
      <c r="F9" s="4">
        <v>14040</v>
      </c>
      <c r="G9" s="4">
        <v>1090</v>
      </c>
      <c r="H9" s="4">
        <v>19620</v>
      </c>
    </row>
    <row r="10" spans="1:8" x14ac:dyDescent="0.2">
      <c r="A10" t="s">
        <v>51</v>
      </c>
      <c r="B10" t="s">
        <v>61</v>
      </c>
      <c r="C10" t="s">
        <v>148</v>
      </c>
      <c r="D10" s="4">
        <v>40</v>
      </c>
      <c r="E10" s="4">
        <v>240</v>
      </c>
      <c r="F10" s="4">
        <v>9600</v>
      </c>
      <c r="G10" s="4">
        <v>340</v>
      </c>
      <c r="H10" s="4">
        <v>13600</v>
      </c>
    </row>
    <row r="11" spans="1:8" x14ac:dyDescent="0.2">
      <c r="A11" t="s">
        <v>51</v>
      </c>
      <c r="B11" t="s">
        <v>64</v>
      </c>
      <c r="C11" t="s">
        <v>153</v>
      </c>
      <c r="D11" s="4">
        <v>14</v>
      </c>
      <c r="E11" s="4">
        <v>280</v>
      </c>
      <c r="F11" s="4">
        <v>3920</v>
      </c>
      <c r="G11" s="4">
        <v>390</v>
      </c>
      <c r="H11" s="4">
        <v>5460</v>
      </c>
    </row>
    <row r="12" spans="1:8" x14ac:dyDescent="0.2">
      <c r="A12" t="s">
        <v>52</v>
      </c>
      <c r="B12" t="s">
        <v>58</v>
      </c>
      <c r="C12" t="s">
        <v>159</v>
      </c>
      <c r="D12" s="4">
        <v>50</v>
      </c>
      <c r="E12" s="4">
        <v>95</v>
      </c>
      <c r="F12" s="4">
        <v>4750</v>
      </c>
      <c r="G12" s="4">
        <v>145</v>
      </c>
      <c r="H12" s="4">
        <v>7250</v>
      </c>
    </row>
    <row r="13" spans="1:8" x14ac:dyDescent="0.2">
      <c r="A13" s="12" t="s">
        <v>209</v>
      </c>
      <c r="B13" s="12"/>
      <c r="C13" s="12"/>
      <c r="D13" s="4">
        <f>SUBTOTAL(109,D2:D12)</f>
        <v>219</v>
      </c>
      <c r="E13" s="12"/>
      <c r="F13" s="5">
        <f>SUBTOTAL(109,F2:F12)</f>
        <v>170500</v>
      </c>
      <c r="G13" s="12"/>
      <c r="H13" s="5">
        <f>SUBTOTAL(109,H2:H12)</f>
        <v>234540</v>
      </c>
    </row>
    <row r="15" spans="1:8" x14ac:dyDescent="0.2">
      <c r="A15" s="7" t="s">
        <v>381</v>
      </c>
    </row>
    <row r="16" spans="1:8" x14ac:dyDescent="0.2">
      <c r="A16" s="7" t="s">
        <v>379</v>
      </c>
    </row>
    <row r="17" spans="1:1" x14ac:dyDescent="0.2">
      <c r="A17" s="6" t="s">
        <v>163</v>
      </c>
    </row>
  </sheetData>
  <hyperlinks>
    <hyperlink ref="A17" location="Home!A1" display="Back to Home" xr:uid="{00000000-0004-0000-1300-000000000000}"/>
  </hyperlinks>
  <pageMargins left="0.35" right="0.35" top="0.6" bottom="0.6" header="0.25" footer="0.25"/>
  <pageSetup paperSize="9" fitToHeight="0" orientation="landscape"/>
  <headerFooter>
    <oddFooter>&amp;LLlantera Aceites Inventario&amp;RPage &amp;P of &amp;N</oddFooter>
  </headerFooter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rgb="FF7C3AED"/>
    <pageSetUpPr fitToPage="1"/>
  </sheetPr>
  <dimension ref="A1:G7"/>
  <sheetViews>
    <sheetView showGridLines="0" zoomScale="90" zoomScaleNormal="90"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22" customWidth="1"/>
    <col min="2" max="2" width="38" customWidth="1"/>
    <col min="3" max="3" width="12" customWidth="1"/>
    <col min="4" max="6" width="16" customWidth="1"/>
    <col min="7" max="7" width="24" customWidth="1"/>
  </cols>
  <sheetData>
    <row r="1" spans="1:7" ht="20" customHeight="1" x14ac:dyDescent="0.2">
      <c r="A1" s="1" t="s">
        <v>370</v>
      </c>
      <c r="B1" s="1" t="s">
        <v>371</v>
      </c>
      <c r="C1" s="1" t="s">
        <v>373</v>
      </c>
      <c r="D1" s="1" t="s">
        <v>382</v>
      </c>
      <c r="E1" s="1" t="s">
        <v>383</v>
      </c>
      <c r="F1" s="1" t="s">
        <v>384</v>
      </c>
      <c r="G1" s="1" t="s">
        <v>385</v>
      </c>
    </row>
    <row r="3" spans="1:7" x14ac:dyDescent="0.2">
      <c r="A3" s="12" t="s">
        <v>209</v>
      </c>
      <c r="B3" s="12"/>
      <c r="C3" s="4">
        <f>SUBTOTAL(109,C2:C2)</f>
        <v>0</v>
      </c>
      <c r="D3" s="12"/>
      <c r="E3" s="12"/>
      <c r="F3" s="12"/>
      <c r="G3" s="12"/>
    </row>
    <row r="5" spans="1:7" x14ac:dyDescent="0.2">
      <c r="A5" s="7" t="s">
        <v>386</v>
      </c>
    </row>
    <row r="6" spans="1:7" x14ac:dyDescent="0.2">
      <c r="A6" s="7" t="s">
        <v>379</v>
      </c>
    </row>
    <row r="7" spans="1:7" x14ac:dyDescent="0.2">
      <c r="A7" s="6" t="s">
        <v>163</v>
      </c>
    </row>
  </sheetData>
  <hyperlinks>
    <hyperlink ref="A7" location="Home!A1" display="Back to Home" xr:uid="{00000000-0004-0000-1400-000000000000}"/>
  </hyperlinks>
  <pageMargins left="0.35" right="0.35" top="0.6" bottom="0.6" header="0.25" footer="0.25"/>
  <pageSetup paperSize="9" fitToHeight="0" orientation="landscape"/>
  <headerFooter>
    <oddFooter>&amp;LLlantera Aceites Inventario&amp;RPage &amp;P of &amp;N</oddFooter>
  </headerFooter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tabColor rgb="FF7C3AED"/>
    <pageSetUpPr fitToPage="1"/>
  </sheetPr>
  <dimension ref="A1:K17"/>
  <sheetViews>
    <sheetView showGridLines="0" zoomScale="90" zoomScaleNormal="90"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4" customWidth="1"/>
    <col min="2" max="2" width="16" customWidth="1"/>
    <col min="3" max="3" width="38" customWidth="1"/>
    <col min="4" max="4" width="12" customWidth="1"/>
    <col min="5" max="6" width="24" customWidth="1"/>
    <col min="7" max="7" width="16" customWidth="1"/>
    <col min="8" max="9" width="18" customWidth="1"/>
    <col min="10" max="10" width="20" customWidth="1"/>
    <col min="11" max="11" width="18" customWidth="1"/>
  </cols>
  <sheetData>
    <row r="1" spans="1:11" ht="20" customHeight="1" x14ac:dyDescent="0.2">
      <c r="A1" s="1" t="s">
        <v>172</v>
      </c>
      <c r="B1" s="1" t="s">
        <v>387</v>
      </c>
      <c r="C1" s="1" t="s">
        <v>371</v>
      </c>
      <c r="D1" s="1" t="s">
        <v>164</v>
      </c>
      <c r="E1" s="1" t="s">
        <v>372</v>
      </c>
      <c r="F1" s="1" t="s">
        <v>388</v>
      </c>
      <c r="G1" s="1" t="s">
        <v>374</v>
      </c>
      <c r="H1" s="1" t="s">
        <v>389</v>
      </c>
      <c r="I1" s="1" t="s">
        <v>390</v>
      </c>
      <c r="J1" s="1" t="s">
        <v>173</v>
      </c>
      <c r="K1" s="1" t="s">
        <v>177</v>
      </c>
    </row>
    <row r="2" spans="1:11" x14ac:dyDescent="0.2">
      <c r="A2" t="s">
        <v>391</v>
      </c>
      <c r="B2" t="s">
        <v>200</v>
      </c>
      <c r="C2" t="s">
        <v>64</v>
      </c>
      <c r="D2" s="4">
        <v>2</v>
      </c>
      <c r="E2" t="s">
        <v>337</v>
      </c>
      <c r="G2" s="4">
        <v>280</v>
      </c>
      <c r="H2" t="s">
        <v>157</v>
      </c>
      <c r="J2" t="s">
        <v>199</v>
      </c>
      <c r="K2" t="s">
        <v>181</v>
      </c>
    </row>
    <row r="3" spans="1:11" x14ac:dyDescent="0.2">
      <c r="A3" t="s">
        <v>392</v>
      </c>
      <c r="B3" t="s">
        <v>186</v>
      </c>
      <c r="C3" t="s">
        <v>58</v>
      </c>
      <c r="D3" s="4">
        <v>4</v>
      </c>
      <c r="E3" t="s">
        <v>340</v>
      </c>
      <c r="G3" s="4">
        <v>95</v>
      </c>
      <c r="H3" t="s">
        <v>161</v>
      </c>
      <c r="J3" t="s">
        <v>197</v>
      </c>
      <c r="K3" t="s">
        <v>190</v>
      </c>
    </row>
    <row r="4" spans="1:11" x14ac:dyDescent="0.2">
      <c r="A4" t="s">
        <v>393</v>
      </c>
      <c r="B4" t="s">
        <v>186</v>
      </c>
      <c r="C4" t="s">
        <v>61</v>
      </c>
      <c r="D4" s="4">
        <v>2</v>
      </c>
      <c r="E4" t="s">
        <v>335</v>
      </c>
      <c r="G4" s="4">
        <v>240</v>
      </c>
      <c r="H4" t="s">
        <v>151</v>
      </c>
      <c r="J4" t="s">
        <v>194</v>
      </c>
      <c r="K4" t="s">
        <v>195</v>
      </c>
    </row>
    <row r="5" spans="1:11" x14ac:dyDescent="0.2">
      <c r="A5" t="s">
        <v>394</v>
      </c>
      <c r="B5" t="s">
        <v>186</v>
      </c>
      <c r="C5" t="s">
        <v>56</v>
      </c>
      <c r="D5" s="4">
        <v>4</v>
      </c>
      <c r="E5" t="s">
        <v>326</v>
      </c>
      <c r="G5" s="4">
        <v>2100</v>
      </c>
      <c r="I5" t="s">
        <v>115</v>
      </c>
      <c r="J5" t="s">
        <v>192</v>
      </c>
      <c r="K5" t="s">
        <v>187</v>
      </c>
    </row>
    <row r="6" spans="1:11" x14ac:dyDescent="0.2">
      <c r="A6" t="s">
        <v>395</v>
      </c>
      <c r="B6" t="s">
        <v>186</v>
      </c>
      <c r="C6" t="s">
        <v>62</v>
      </c>
      <c r="D6" s="4">
        <v>1</v>
      </c>
      <c r="E6" t="s">
        <v>335</v>
      </c>
      <c r="G6" s="4">
        <v>950</v>
      </c>
      <c r="H6" t="s">
        <v>134</v>
      </c>
      <c r="J6" t="s">
        <v>189</v>
      </c>
      <c r="K6" t="s">
        <v>190</v>
      </c>
    </row>
    <row r="7" spans="1:11" x14ac:dyDescent="0.2">
      <c r="A7" t="s">
        <v>396</v>
      </c>
      <c r="B7" t="s">
        <v>186</v>
      </c>
      <c r="C7" t="s">
        <v>59</v>
      </c>
      <c r="D7" s="4">
        <v>2</v>
      </c>
      <c r="E7" t="s">
        <v>326</v>
      </c>
      <c r="G7" s="4">
        <v>1850</v>
      </c>
      <c r="I7" t="s">
        <v>110</v>
      </c>
      <c r="J7" t="s">
        <v>185</v>
      </c>
      <c r="K7" t="s">
        <v>187</v>
      </c>
    </row>
    <row r="8" spans="1:11" x14ac:dyDescent="0.2">
      <c r="A8" t="s">
        <v>397</v>
      </c>
      <c r="B8" t="s">
        <v>180</v>
      </c>
      <c r="C8" t="s">
        <v>63</v>
      </c>
      <c r="D8" s="4">
        <v>22</v>
      </c>
      <c r="E8" t="s">
        <v>335</v>
      </c>
      <c r="G8" s="4">
        <v>620</v>
      </c>
      <c r="H8" t="s">
        <v>140</v>
      </c>
      <c r="J8" t="s">
        <v>183</v>
      </c>
      <c r="K8" t="s">
        <v>181</v>
      </c>
    </row>
    <row r="9" spans="1:11" x14ac:dyDescent="0.2">
      <c r="A9" t="s">
        <v>398</v>
      </c>
      <c r="B9" t="s">
        <v>180</v>
      </c>
      <c r="C9" t="s">
        <v>62</v>
      </c>
      <c r="D9" s="4">
        <v>35</v>
      </c>
      <c r="E9" t="s">
        <v>335</v>
      </c>
      <c r="G9" s="4">
        <v>950</v>
      </c>
      <c r="H9" t="s">
        <v>134</v>
      </c>
      <c r="J9" t="s">
        <v>183</v>
      </c>
      <c r="K9" t="s">
        <v>181</v>
      </c>
    </row>
    <row r="10" spans="1:11" x14ac:dyDescent="0.2">
      <c r="A10" t="s">
        <v>399</v>
      </c>
      <c r="B10" t="s">
        <v>180</v>
      </c>
      <c r="C10" t="s">
        <v>67</v>
      </c>
      <c r="D10" s="4">
        <v>6</v>
      </c>
      <c r="E10" t="s">
        <v>326</v>
      </c>
      <c r="G10" s="4">
        <v>2450</v>
      </c>
      <c r="I10" t="s">
        <v>118</v>
      </c>
      <c r="J10" t="s">
        <v>179</v>
      </c>
      <c r="K10" t="s">
        <v>181</v>
      </c>
    </row>
    <row r="11" spans="1:11" x14ac:dyDescent="0.2">
      <c r="A11" t="s">
        <v>400</v>
      </c>
      <c r="B11" t="s">
        <v>180</v>
      </c>
      <c r="C11" t="s">
        <v>56</v>
      </c>
      <c r="D11" s="4">
        <v>8</v>
      </c>
      <c r="E11" t="s">
        <v>326</v>
      </c>
      <c r="G11" s="4">
        <v>2100</v>
      </c>
      <c r="I11" t="s">
        <v>115</v>
      </c>
      <c r="J11" t="s">
        <v>179</v>
      </c>
      <c r="K11" t="s">
        <v>181</v>
      </c>
    </row>
    <row r="12" spans="1:11" x14ac:dyDescent="0.2">
      <c r="A12" t="s">
        <v>401</v>
      </c>
      <c r="B12" t="s">
        <v>180</v>
      </c>
      <c r="C12" t="s">
        <v>59</v>
      </c>
      <c r="D12" s="4">
        <v>12</v>
      </c>
      <c r="E12" t="s">
        <v>326</v>
      </c>
      <c r="G12" s="4">
        <v>1850</v>
      </c>
      <c r="I12" t="s">
        <v>110</v>
      </c>
      <c r="J12" t="s">
        <v>179</v>
      </c>
      <c r="K12" t="s">
        <v>181</v>
      </c>
    </row>
    <row r="13" spans="1:11" x14ac:dyDescent="0.2">
      <c r="A13" s="12" t="s">
        <v>209</v>
      </c>
      <c r="B13" s="12"/>
      <c r="C13" s="12"/>
      <c r="D13" s="4">
        <f>SUBTOTAL(109,D2:D12)</f>
        <v>98</v>
      </c>
      <c r="E13" s="12"/>
      <c r="F13" s="12"/>
      <c r="G13" s="12"/>
      <c r="H13" s="12"/>
      <c r="I13" s="12"/>
      <c r="J13" s="12"/>
      <c r="K13" s="12"/>
    </row>
    <row r="15" spans="1:11" x14ac:dyDescent="0.2">
      <c r="A15" s="7" t="s">
        <v>402</v>
      </c>
    </row>
    <row r="16" spans="1:11" x14ac:dyDescent="0.2">
      <c r="A16" s="7" t="s">
        <v>379</v>
      </c>
    </row>
    <row r="17" spans="1:1" x14ac:dyDescent="0.2">
      <c r="A17" s="6" t="s">
        <v>163</v>
      </c>
    </row>
  </sheetData>
  <hyperlinks>
    <hyperlink ref="A17" location="Home!A1" display="Back to Home" xr:uid="{00000000-0004-0000-1500-000000000000}"/>
  </hyperlinks>
  <pageMargins left="0.35" right="0.35" top="0.6" bottom="0.6" header="0.25" footer="0.25"/>
  <pageSetup paperSize="9" fitToHeight="0" orientation="landscape"/>
  <headerFooter>
    <oddFooter>&amp;LLlantera Aceites Inventario&amp;RPage &amp;P of &amp;N</oddFooter>
  </headerFooter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rgb="FF7C3AED"/>
    <pageSetUpPr fitToPage="1"/>
  </sheetPr>
  <dimension ref="A1:G17"/>
  <sheetViews>
    <sheetView showGridLines="0" zoomScale="90" zoomScaleNormal="90"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22" customWidth="1"/>
    <col min="2" max="2" width="38" customWidth="1"/>
    <col min="3" max="6" width="12" customWidth="1"/>
    <col min="7" max="7" width="16" customWidth="1"/>
  </cols>
  <sheetData>
    <row r="1" spans="1:7" ht="20" customHeight="1" x14ac:dyDescent="0.2">
      <c r="A1" s="1" t="s">
        <v>370</v>
      </c>
      <c r="B1" s="1" t="s">
        <v>371</v>
      </c>
      <c r="C1" s="1" t="s">
        <v>373</v>
      </c>
      <c r="D1" s="1" t="s">
        <v>403</v>
      </c>
      <c r="E1" s="1" t="s">
        <v>404</v>
      </c>
      <c r="F1" s="1" t="s">
        <v>405</v>
      </c>
      <c r="G1" s="1" t="s">
        <v>60</v>
      </c>
    </row>
    <row r="2" spans="1:7" x14ac:dyDescent="0.2">
      <c r="A2" t="s">
        <v>50</v>
      </c>
      <c r="B2" t="s">
        <v>59</v>
      </c>
      <c r="C2" s="4">
        <v>12</v>
      </c>
      <c r="D2" s="4">
        <v>12</v>
      </c>
      <c r="E2" s="4">
        <v>2</v>
      </c>
      <c r="F2" s="4">
        <v>0</v>
      </c>
      <c r="G2" t="s">
        <v>406</v>
      </c>
    </row>
    <row r="3" spans="1:7" x14ac:dyDescent="0.2">
      <c r="A3" t="s">
        <v>50</v>
      </c>
      <c r="B3" t="s">
        <v>56</v>
      </c>
      <c r="C3" s="4">
        <v>8</v>
      </c>
      <c r="D3" s="4">
        <v>8</v>
      </c>
      <c r="E3" s="4">
        <v>4</v>
      </c>
      <c r="F3" s="4">
        <v>0</v>
      </c>
      <c r="G3" t="s">
        <v>406</v>
      </c>
    </row>
    <row r="4" spans="1:7" x14ac:dyDescent="0.2">
      <c r="A4" t="s">
        <v>50</v>
      </c>
      <c r="B4" t="s">
        <v>67</v>
      </c>
      <c r="C4" s="4">
        <v>6</v>
      </c>
      <c r="D4" s="4">
        <v>6</v>
      </c>
      <c r="E4" s="4">
        <v>0</v>
      </c>
      <c r="F4" s="4">
        <v>0</v>
      </c>
      <c r="G4" t="s">
        <v>406</v>
      </c>
    </row>
    <row r="5" spans="1:7" x14ac:dyDescent="0.2">
      <c r="A5" t="s">
        <v>50</v>
      </c>
      <c r="B5" t="s">
        <v>65</v>
      </c>
      <c r="C5" s="4">
        <v>4</v>
      </c>
      <c r="D5" s="4">
        <v>0</v>
      </c>
      <c r="E5" s="4">
        <v>0</v>
      </c>
      <c r="F5" s="4">
        <v>0</v>
      </c>
      <c r="G5" t="s">
        <v>111</v>
      </c>
    </row>
    <row r="6" spans="1:7" x14ac:dyDescent="0.2">
      <c r="A6" t="s">
        <v>50</v>
      </c>
      <c r="B6" t="s">
        <v>66</v>
      </c>
      <c r="C6" s="4">
        <v>10</v>
      </c>
      <c r="D6" s="4">
        <v>0</v>
      </c>
      <c r="E6" s="4">
        <v>0</v>
      </c>
      <c r="F6" s="4">
        <v>0</v>
      </c>
      <c r="G6" t="s">
        <v>111</v>
      </c>
    </row>
    <row r="7" spans="1:7" x14ac:dyDescent="0.2">
      <c r="A7" t="s">
        <v>51</v>
      </c>
      <c r="B7" t="s">
        <v>62</v>
      </c>
      <c r="C7" s="4">
        <v>35</v>
      </c>
      <c r="D7" s="4">
        <v>35</v>
      </c>
      <c r="E7" s="4">
        <v>1</v>
      </c>
      <c r="F7" s="4">
        <v>0</v>
      </c>
      <c r="G7" t="s">
        <v>406</v>
      </c>
    </row>
    <row r="8" spans="1:7" x14ac:dyDescent="0.2">
      <c r="A8" t="s">
        <v>51</v>
      </c>
      <c r="B8" t="s">
        <v>63</v>
      </c>
      <c r="C8" s="4">
        <v>22</v>
      </c>
      <c r="D8" s="4">
        <v>22</v>
      </c>
      <c r="E8" s="4">
        <v>0</v>
      </c>
      <c r="F8" s="4">
        <v>0</v>
      </c>
      <c r="G8" t="s">
        <v>406</v>
      </c>
    </row>
    <row r="9" spans="1:7" x14ac:dyDescent="0.2">
      <c r="A9" t="s">
        <v>51</v>
      </c>
      <c r="B9" t="s">
        <v>68</v>
      </c>
      <c r="C9" s="4">
        <v>18</v>
      </c>
      <c r="D9" s="4">
        <v>0</v>
      </c>
      <c r="E9" s="4">
        <v>0</v>
      </c>
      <c r="F9" s="4">
        <v>0</v>
      </c>
      <c r="G9" t="s">
        <v>111</v>
      </c>
    </row>
    <row r="10" spans="1:7" x14ac:dyDescent="0.2">
      <c r="A10" t="s">
        <v>51</v>
      </c>
      <c r="B10" t="s">
        <v>61</v>
      </c>
      <c r="C10" s="4">
        <v>40</v>
      </c>
      <c r="D10" s="4">
        <v>0</v>
      </c>
      <c r="E10" s="4">
        <v>2</v>
      </c>
      <c r="F10" s="4">
        <v>0</v>
      </c>
      <c r="G10" t="s">
        <v>406</v>
      </c>
    </row>
    <row r="11" spans="1:7" x14ac:dyDescent="0.2">
      <c r="A11" t="s">
        <v>51</v>
      </c>
      <c r="B11" t="s">
        <v>64</v>
      </c>
      <c r="C11" s="4">
        <v>14</v>
      </c>
      <c r="D11" s="4">
        <v>0</v>
      </c>
      <c r="E11" s="4">
        <v>0</v>
      </c>
      <c r="F11" s="4">
        <v>2</v>
      </c>
      <c r="G11" t="s">
        <v>406</v>
      </c>
    </row>
    <row r="12" spans="1:7" x14ac:dyDescent="0.2">
      <c r="A12" t="s">
        <v>52</v>
      </c>
      <c r="B12" t="s">
        <v>58</v>
      </c>
      <c r="C12" s="4">
        <v>50</v>
      </c>
      <c r="D12" s="4">
        <v>0</v>
      </c>
      <c r="E12" s="4">
        <v>4</v>
      </c>
      <c r="F12" s="4">
        <v>0</v>
      </c>
      <c r="G12" t="s">
        <v>406</v>
      </c>
    </row>
    <row r="13" spans="1:7" x14ac:dyDescent="0.2">
      <c r="A13" s="12" t="s">
        <v>209</v>
      </c>
      <c r="B13" s="12"/>
      <c r="C13" s="4">
        <f>SUBTOTAL(109,C2:C12)</f>
        <v>219</v>
      </c>
      <c r="D13" s="4">
        <f>SUBTOTAL(109,D2:D12)</f>
        <v>83</v>
      </c>
      <c r="E13" s="4">
        <f>SUBTOTAL(109,E2:E12)</f>
        <v>13</v>
      </c>
      <c r="F13" s="4">
        <f>SUBTOTAL(109,F2:F12)</f>
        <v>2</v>
      </c>
      <c r="G13" s="12"/>
    </row>
    <row r="15" spans="1:7" x14ac:dyDescent="0.2">
      <c r="A15" s="7" t="s">
        <v>407</v>
      </c>
    </row>
    <row r="16" spans="1:7" x14ac:dyDescent="0.2">
      <c r="A16" s="7" t="s">
        <v>379</v>
      </c>
    </row>
    <row r="17" spans="1:1" x14ac:dyDescent="0.2">
      <c r="A17" s="6" t="s">
        <v>163</v>
      </c>
    </row>
  </sheetData>
  <hyperlinks>
    <hyperlink ref="A17" location="Home!A1" display="Back to Home" xr:uid="{00000000-0004-0000-1600-000000000000}"/>
  </hyperlinks>
  <pageMargins left="0.35" right="0.35" top="0.6" bottom="0.6" header="0.25" footer="0.25"/>
  <pageSetup paperSize="9" fitToHeight="0" orientation="landscape"/>
  <headerFooter>
    <oddFooter>&amp;LLlantera Aceites Inventario&amp;RPage &amp;P of &amp;N</oddFooter>
  </headerFooter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rgb="FF7C3AED"/>
    <pageSetUpPr fitToPage="1"/>
  </sheetPr>
  <dimension ref="A1:H17"/>
  <sheetViews>
    <sheetView showGridLines="0" zoomScale="90" zoomScaleNormal="90"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8" customWidth="1"/>
    <col min="2" max="2" width="14" customWidth="1"/>
    <col min="3" max="3" width="38" customWidth="1"/>
    <col min="4" max="4" width="24" customWidth="1"/>
    <col min="5" max="5" width="16" customWidth="1"/>
    <col min="6" max="6" width="18" customWidth="1"/>
    <col min="7" max="7" width="14" customWidth="1"/>
    <col min="8" max="8" width="30" customWidth="1"/>
  </cols>
  <sheetData>
    <row r="1" spans="1:8" ht="20" customHeight="1" x14ac:dyDescent="0.2">
      <c r="A1" s="1" t="s">
        <v>204</v>
      </c>
      <c r="B1" s="1" t="s">
        <v>172</v>
      </c>
      <c r="C1" s="1" t="s">
        <v>371</v>
      </c>
      <c r="D1" s="1" t="s">
        <v>372</v>
      </c>
      <c r="E1" s="1" t="s">
        <v>408</v>
      </c>
      <c r="F1" s="1" t="s">
        <v>409</v>
      </c>
      <c r="G1" s="1" t="s">
        <v>240</v>
      </c>
      <c r="H1" s="1" t="s">
        <v>104</v>
      </c>
    </row>
    <row r="2" spans="1:8" x14ac:dyDescent="0.2">
      <c r="A2" t="s">
        <v>199</v>
      </c>
      <c r="B2" t="s">
        <v>410</v>
      </c>
      <c r="C2" t="s">
        <v>59</v>
      </c>
      <c r="D2" t="s">
        <v>326</v>
      </c>
      <c r="E2" s="4">
        <v>10</v>
      </c>
      <c r="F2" s="4">
        <v>10</v>
      </c>
      <c r="G2" s="4">
        <v>0</v>
      </c>
    </row>
    <row r="3" spans="1:8" x14ac:dyDescent="0.2">
      <c r="A3" t="s">
        <v>199</v>
      </c>
      <c r="B3" t="s">
        <v>410</v>
      </c>
      <c r="C3" t="s">
        <v>56</v>
      </c>
      <c r="D3" t="s">
        <v>326</v>
      </c>
      <c r="E3" s="4">
        <v>8</v>
      </c>
      <c r="F3" s="4">
        <v>8</v>
      </c>
      <c r="G3" s="4">
        <v>0</v>
      </c>
    </row>
    <row r="4" spans="1:8" x14ac:dyDescent="0.2">
      <c r="A4" t="s">
        <v>199</v>
      </c>
      <c r="B4" t="s">
        <v>410</v>
      </c>
      <c r="C4" t="s">
        <v>67</v>
      </c>
      <c r="D4" t="s">
        <v>326</v>
      </c>
      <c r="E4" s="4">
        <v>6</v>
      </c>
      <c r="F4" s="4">
        <v>6</v>
      </c>
      <c r="G4" s="4">
        <v>0</v>
      </c>
    </row>
    <row r="5" spans="1:8" x14ac:dyDescent="0.2">
      <c r="A5" t="s">
        <v>199</v>
      </c>
      <c r="B5" t="s">
        <v>410</v>
      </c>
      <c r="C5" t="s">
        <v>65</v>
      </c>
      <c r="D5" t="s">
        <v>329</v>
      </c>
      <c r="E5" s="4">
        <v>4</v>
      </c>
      <c r="F5" s="4">
        <v>4</v>
      </c>
      <c r="G5" s="4">
        <v>0</v>
      </c>
    </row>
    <row r="6" spans="1:8" x14ac:dyDescent="0.2">
      <c r="A6" t="s">
        <v>199</v>
      </c>
      <c r="B6" t="s">
        <v>410</v>
      </c>
      <c r="C6" t="s">
        <v>66</v>
      </c>
      <c r="D6" t="s">
        <v>332</v>
      </c>
      <c r="E6" s="4">
        <v>10</v>
      </c>
      <c r="F6" s="4">
        <v>10</v>
      </c>
      <c r="G6" s="4">
        <v>0</v>
      </c>
    </row>
    <row r="7" spans="1:8" x14ac:dyDescent="0.2">
      <c r="A7" t="s">
        <v>199</v>
      </c>
      <c r="B7" t="s">
        <v>410</v>
      </c>
      <c r="C7" t="s">
        <v>62</v>
      </c>
      <c r="D7" t="s">
        <v>335</v>
      </c>
      <c r="E7" s="4">
        <v>34</v>
      </c>
      <c r="F7" s="4">
        <v>35</v>
      </c>
      <c r="G7" s="4">
        <v>1</v>
      </c>
      <c r="H7" t="s">
        <v>242</v>
      </c>
    </row>
    <row r="8" spans="1:8" x14ac:dyDescent="0.2">
      <c r="A8" t="s">
        <v>199</v>
      </c>
      <c r="B8" t="s">
        <v>410</v>
      </c>
      <c r="C8" t="s">
        <v>63</v>
      </c>
      <c r="D8" t="s">
        <v>335</v>
      </c>
      <c r="E8" s="4">
        <v>22</v>
      </c>
      <c r="F8" s="4">
        <v>22</v>
      </c>
      <c r="G8" s="4">
        <v>0</v>
      </c>
    </row>
    <row r="9" spans="1:8" x14ac:dyDescent="0.2">
      <c r="A9" t="s">
        <v>199</v>
      </c>
      <c r="B9" t="s">
        <v>410</v>
      </c>
      <c r="C9" t="s">
        <v>68</v>
      </c>
      <c r="D9" t="s">
        <v>337</v>
      </c>
      <c r="E9" s="4">
        <v>18</v>
      </c>
      <c r="F9" s="4">
        <v>18</v>
      </c>
      <c r="G9" s="4">
        <v>0</v>
      </c>
    </row>
    <row r="10" spans="1:8" x14ac:dyDescent="0.2">
      <c r="A10" t="s">
        <v>199</v>
      </c>
      <c r="B10" t="s">
        <v>410</v>
      </c>
      <c r="C10" t="s">
        <v>61</v>
      </c>
      <c r="D10" t="s">
        <v>335</v>
      </c>
      <c r="E10" s="4">
        <v>38</v>
      </c>
      <c r="F10" s="4">
        <v>38</v>
      </c>
      <c r="G10" s="4">
        <v>0</v>
      </c>
    </row>
    <row r="11" spans="1:8" x14ac:dyDescent="0.2">
      <c r="A11" t="s">
        <v>199</v>
      </c>
      <c r="B11" t="s">
        <v>410</v>
      </c>
      <c r="C11" t="s">
        <v>64</v>
      </c>
      <c r="D11" t="s">
        <v>337</v>
      </c>
      <c r="E11" s="4">
        <v>16</v>
      </c>
      <c r="F11" s="4">
        <v>16</v>
      </c>
      <c r="G11" s="4">
        <v>0</v>
      </c>
    </row>
    <row r="12" spans="1:8" x14ac:dyDescent="0.2">
      <c r="A12" t="s">
        <v>199</v>
      </c>
      <c r="B12" t="s">
        <v>410</v>
      </c>
      <c r="C12" t="s">
        <v>58</v>
      </c>
      <c r="D12" t="s">
        <v>340</v>
      </c>
      <c r="E12" s="4">
        <v>46</v>
      </c>
      <c r="F12" s="4">
        <v>46</v>
      </c>
      <c r="G12" s="4">
        <v>0</v>
      </c>
    </row>
    <row r="13" spans="1:8" x14ac:dyDescent="0.2">
      <c r="A13" s="12" t="s">
        <v>209</v>
      </c>
      <c r="B13" s="12"/>
      <c r="C13" s="12"/>
      <c r="D13" s="12"/>
      <c r="E13" s="4">
        <f>SUBTOTAL(109,E2:E12)</f>
        <v>212</v>
      </c>
      <c r="F13" s="4">
        <f>SUBTOTAL(109,F2:F12)</f>
        <v>213</v>
      </c>
      <c r="G13" s="4">
        <f>SUBTOTAL(109,G2:G12)</f>
        <v>1</v>
      </c>
      <c r="H13" s="12"/>
    </row>
    <row r="15" spans="1:8" x14ac:dyDescent="0.2">
      <c r="A15" s="7" t="s">
        <v>411</v>
      </c>
    </row>
    <row r="16" spans="1:8" x14ac:dyDescent="0.2">
      <c r="A16" s="7" t="s">
        <v>379</v>
      </c>
    </row>
    <row r="17" spans="1:1" x14ac:dyDescent="0.2">
      <c r="A17" s="6" t="s">
        <v>163</v>
      </c>
    </row>
  </sheetData>
  <hyperlinks>
    <hyperlink ref="A17" location="Home!A1" display="Back to Home" xr:uid="{00000000-0004-0000-1700-000000000000}"/>
  </hyperlinks>
  <pageMargins left="0.35" right="0.35" top="0.6" bottom="0.6" header="0.25" footer="0.25"/>
  <pageSetup paperSize="9" fitToHeight="0" orientation="landscape"/>
  <headerFooter>
    <oddFooter>&amp;LLlantera Aceites Inventario&amp;RPage &amp;P of &amp;N</oddFooter>
  </headerFooter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rgb="FF7C3AED"/>
    <pageSetUpPr fitToPage="1"/>
  </sheetPr>
  <dimension ref="A1:F12"/>
  <sheetViews>
    <sheetView showGridLines="0" zoomScale="90" zoomScaleNormal="90"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22" customWidth="1"/>
    <col min="2" max="2" width="38" customWidth="1"/>
    <col min="3" max="4" width="18" customWidth="1"/>
    <col min="5" max="5" width="16" customWidth="1"/>
    <col min="6" max="6" width="12" customWidth="1"/>
  </cols>
  <sheetData>
    <row r="1" spans="1:6" ht="20" customHeight="1" x14ac:dyDescent="0.2">
      <c r="A1" s="1" t="s">
        <v>370</v>
      </c>
      <c r="B1" s="1" t="s">
        <v>371</v>
      </c>
      <c r="C1" s="1" t="s">
        <v>389</v>
      </c>
      <c r="D1" s="1" t="s">
        <v>412</v>
      </c>
      <c r="E1" s="1" t="s">
        <v>413</v>
      </c>
      <c r="F1" s="1" t="s">
        <v>373</v>
      </c>
    </row>
    <row r="2" spans="1:6" x14ac:dyDescent="0.2">
      <c r="A2" t="s">
        <v>52</v>
      </c>
      <c r="B2" t="s">
        <v>58</v>
      </c>
      <c r="C2" t="s">
        <v>161</v>
      </c>
      <c r="E2" s="4">
        <v>-20620</v>
      </c>
      <c r="F2" s="4">
        <v>50</v>
      </c>
    </row>
    <row r="3" spans="1:6" x14ac:dyDescent="0.2">
      <c r="A3" t="s">
        <v>51</v>
      </c>
      <c r="B3" t="s">
        <v>63</v>
      </c>
      <c r="C3" t="s">
        <v>140</v>
      </c>
      <c r="D3" t="s">
        <v>414</v>
      </c>
      <c r="E3" s="4">
        <v>684</v>
      </c>
      <c r="F3" s="4">
        <v>22</v>
      </c>
    </row>
    <row r="4" spans="1:6" x14ac:dyDescent="0.2">
      <c r="A4" t="s">
        <v>51</v>
      </c>
      <c r="B4" t="s">
        <v>62</v>
      </c>
      <c r="C4" t="s">
        <v>134</v>
      </c>
      <c r="D4" t="s">
        <v>415</v>
      </c>
      <c r="E4" s="4">
        <v>715</v>
      </c>
      <c r="F4" s="4">
        <v>35</v>
      </c>
    </row>
    <row r="5" spans="1:6" x14ac:dyDescent="0.2">
      <c r="A5" t="s">
        <v>51</v>
      </c>
      <c r="B5" t="s">
        <v>61</v>
      </c>
      <c r="C5" t="s">
        <v>151</v>
      </c>
      <c r="D5" t="s">
        <v>415</v>
      </c>
      <c r="E5" s="4">
        <v>715</v>
      </c>
      <c r="F5" s="4">
        <v>40</v>
      </c>
    </row>
    <row r="6" spans="1:6" x14ac:dyDescent="0.2">
      <c r="A6" t="s">
        <v>51</v>
      </c>
      <c r="B6" t="s">
        <v>68</v>
      </c>
      <c r="C6" t="s">
        <v>146</v>
      </c>
      <c r="D6" t="s">
        <v>416</v>
      </c>
      <c r="E6" s="4">
        <v>745</v>
      </c>
      <c r="F6" s="4">
        <v>18</v>
      </c>
    </row>
    <row r="7" spans="1:6" x14ac:dyDescent="0.2">
      <c r="A7" t="s">
        <v>51</v>
      </c>
      <c r="B7" t="s">
        <v>64</v>
      </c>
      <c r="C7" t="s">
        <v>157</v>
      </c>
      <c r="D7" t="s">
        <v>417</v>
      </c>
      <c r="E7" s="4">
        <v>1414</v>
      </c>
      <c r="F7" s="4">
        <v>14</v>
      </c>
    </row>
    <row r="8" spans="1:6" x14ac:dyDescent="0.2">
      <c r="A8" s="12" t="s">
        <v>209</v>
      </c>
      <c r="B8" s="12"/>
      <c r="C8" s="12"/>
      <c r="D8" s="12"/>
      <c r="E8" s="12"/>
      <c r="F8" s="4">
        <f>SUBTOTAL(109,F2:F7)</f>
        <v>179</v>
      </c>
    </row>
    <row r="10" spans="1:6" x14ac:dyDescent="0.2">
      <c r="A10" s="7" t="s">
        <v>418</v>
      </c>
    </row>
    <row r="11" spans="1:6" x14ac:dyDescent="0.2">
      <c r="A11" s="7" t="s">
        <v>379</v>
      </c>
    </row>
    <row r="12" spans="1:6" x14ac:dyDescent="0.2">
      <c r="A12" s="6" t="s">
        <v>163</v>
      </c>
    </row>
  </sheetData>
  <hyperlinks>
    <hyperlink ref="A12" location="Home!A1" display="Back to Home" xr:uid="{00000000-0004-0000-1800-000000000000}"/>
  </hyperlinks>
  <pageMargins left="0.35" right="0.35" top="0.6" bottom="0.6" header="0.25" footer="0.25"/>
  <pageSetup paperSize="9" fitToHeight="0" orientation="landscape"/>
  <headerFooter>
    <oddFooter>&amp;LLlantera Aceites Inventario&amp;RPage &amp;P of &amp;N</oddFooter>
  </headerFooter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>
    <tabColor rgb="FF7C3AED"/>
    <pageSetUpPr fitToPage="1"/>
  </sheetPr>
  <dimension ref="A1:H8"/>
  <sheetViews>
    <sheetView showGridLines="0" zoomScale="90" zoomScaleNormal="90"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4" customWidth="1"/>
    <col min="2" max="2" width="38" customWidth="1"/>
    <col min="3" max="3" width="18" customWidth="1"/>
    <col min="4" max="4" width="12" customWidth="1"/>
    <col min="5" max="5" width="24" customWidth="1"/>
    <col min="6" max="6" width="22" customWidth="1"/>
    <col min="7" max="7" width="18" customWidth="1"/>
    <col min="8" max="8" width="30" customWidth="1"/>
  </cols>
  <sheetData>
    <row r="1" spans="1:8" ht="20" customHeight="1" x14ac:dyDescent="0.2">
      <c r="A1" s="1" t="s">
        <v>172</v>
      </c>
      <c r="B1" s="1" t="s">
        <v>371</v>
      </c>
      <c r="C1" s="1" t="s">
        <v>390</v>
      </c>
      <c r="D1" s="1" t="s">
        <v>164</v>
      </c>
      <c r="E1" s="1" t="s">
        <v>372</v>
      </c>
      <c r="F1" s="1" t="s">
        <v>173</v>
      </c>
      <c r="G1" s="1" t="s">
        <v>177</v>
      </c>
      <c r="H1" s="1" t="s">
        <v>104</v>
      </c>
    </row>
    <row r="2" spans="1:8" x14ac:dyDescent="0.2">
      <c r="A2" t="s">
        <v>396</v>
      </c>
      <c r="B2" t="s">
        <v>59</v>
      </c>
      <c r="C2" t="s">
        <v>110</v>
      </c>
      <c r="D2" s="4">
        <v>2</v>
      </c>
      <c r="E2" t="s">
        <v>326</v>
      </c>
      <c r="F2" t="s">
        <v>185</v>
      </c>
      <c r="G2" t="s">
        <v>187</v>
      </c>
      <c r="H2" t="s">
        <v>184</v>
      </c>
    </row>
    <row r="3" spans="1:8" x14ac:dyDescent="0.2">
      <c r="A3" t="s">
        <v>394</v>
      </c>
      <c r="B3" t="s">
        <v>56</v>
      </c>
      <c r="C3" t="s">
        <v>115</v>
      </c>
      <c r="D3" s="4">
        <v>4</v>
      </c>
      <c r="E3" t="s">
        <v>326</v>
      </c>
      <c r="F3" t="s">
        <v>192</v>
      </c>
      <c r="G3" t="s">
        <v>187</v>
      </c>
      <c r="H3" t="s">
        <v>191</v>
      </c>
    </row>
    <row r="4" spans="1:8" x14ac:dyDescent="0.2">
      <c r="A4" s="12" t="s">
        <v>209</v>
      </c>
      <c r="B4" s="12"/>
      <c r="C4" s="12"/>
      <c r="D4" s="4">
        <f>SUBTOTAL(109,D2:D3)</f>
        <v>6</v>
      </c>
      <c r="E4" s="12"/>
      <c r="F4" s="12"/>
      <c r="G4" s="12"/>
      <c r="H4" s="12"/>
    </row>
    <row r="6" spans="1:8" x14ac:dyDescent="0.2">
      <c r="A6" s="7" t="s">
        <v>419</v>
      </c>
    </row>
    <row r="7" spans="1:8" x14ac:dyDescent="0.2">
      <c r="A7" s="7" t="s">
        <v>379</v>
      </c>
    </row>
    <row r="8" spans="1:8" x14ac:dyDescent="0.2">
      <c r="A8" s="6" t="s">
        <v>163</v>
      </c>
    </row>
  </sheetData>
  <hyperlinks>
    <hyperlink ref="A8" location="Home!A1" display="Back to Home" xr:uid="{00000000-0004-0000-1900-000000000000}"/>
  </hyperlinks>
  <pageMargins left="0.35" right="0.35" top="0.6" bottom="0.6" header="0.25" footer="0.25"/>
  <pageSetup paperSize="9" fitToHeight="0" orientation="landscape"/>
  <headerFooter>
    <oddFooter>&amp;LLlantera Aceites Inventario&amp;RPage &amp;P of &amp;N</oddFooter>
  </headerFooter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7C3AED"/>
    <pageSetUpPr fitToPage="1"/>
  </sheetPr>
  <dimension ref="B1:N72"/>
  <sheetViews>
    <sheetView showGridLines="0" topLeftCell="A60" zoomScale="90" zoomScaleNormal="90" workbookViewId="0">
      <selection activeCell="B72" sqref="B72"/>
    </sheetView>
  </sheetViews>
  <sheetFormatPr baseColWidth="10" defaultColWidth="8.83203125" defaultRowHeight="15" x14ac:dyDescent="0.2"/>
  <cols>
    <col min="1" max="1" width="3" customWidth="1"/>
    <col min="2" max="2" width="29.1640625" bestFit="1" customWidth="1"/>
    <col min="3" max="3" width="20.33203125" bestFit="1" customWidth="1"/>
    <col min="4" max="4" width="5.6640625" bestFit="1" customWidth="1"/>
    <col min="5" max="5" width="8.5" bestFit="1" customWidth="1"/>
    <col min="6" max="6" width="11.1640625" bestFit="1" customWidth="1"/>
    <col min="7" max="9" width="13.6640625" bestFit="1" customWidth="1"/>
    <col min="10" max="10" width="12.6640625" bestFit="1" customWidth="1"/>
    <col min="11" max="13" width="13.6640625" bestFit="1" customWidth="1"/>
    <col min="14" max="14" width="11.1640625" bestFit="1" customWidth="1"/>
  </cols>
  <sheetData>
    <row r="1" spans="2:14" ht="8" customHeight="1" x14ac:dyDescent="0.2"/>
    <row r="2" spans="2:14" ht="30" customHeight="1" x14ac:dyDescent="0.35">
      <c r="B2" s="15" t="s">
        <v>30</v>
      </c>
    </row>
    <row r="3" spans="2:14" x14ac:dyDescent="0.2">
      <c r="B3" s="7" t="s">
        <v>420</v>
      </c>
    </row>
    <row r="5" spans="2:14" ht="22" customHeight="1" x14ac:dyDescent="0.2">
      <c r="B5" s="12" t="s">
        <v>421</v>
      </c>
    </row>
    <row r="6" spans="2:14" x14ac:dyDescent="0.2">
      <c r="B6" s="7" t="s">
        <v>422</v>
      </c>
    </row>
    <row r="7" spans="2:14" x14ac:dyDescent="0.2">
      <c r="B7" s="21" t="s">
        <v>681</v>
      </c>
      <c r="C7" s="21" t="s">
        <v>685</v>
      </c>
    </row>
    <row r="8" spans="2:14" x14ac:dyDescent="0.2">
      <c r="B8" s="21" t="s">
        <v>680</v>
      </c>
      <c r="C8" s="23">
        <v>46174.395833333336</v>
      </c>
      <c r="D8" s="23">
        <v>46174.416666666664</v>
      </c>
      <c r="E8" s="23">
        <v>46175.34375</v>
      </c>
      <c r="F8" s="23">
        <v>46175.489583333336</v>
      </c>
      <c r="G8" s="23">
        <v>46176.597222222219</v>
      </c>
      <c r="H8" s="23">
        <v>46183.5</v>
      </c>
      <c r="I8" s="23">
        <v>46184.645833333336</v>
      </c>
      <c r="J8" s="23">
        <v>46185.375</v>
      </c>
      <c r="K8" s="23">
        <v>46186.666666666664</v>
      </c>
      <c r="L8" s="23">
        <v>46187.458333333336</v>
      </c>
      <c r="M8" s="23">
        <v>46187.729166666664</v>
      </c>
      <c r="N8" t="s">
        <v>683</v>
      </c>
    </row>
    <row r="9" spans="2:14" x14ac:dyDescent="0.2">
      <c r="B9" s="22" t="s">
        <v>180</v>
      </c>
      <c r="C9" s="24">
        <v>12</v>
      </c>
      <c r="D9" s="24">
        <v>8</v>
      </c>
      <c r="E9" s="24">
        <v>6</v>
      </c>
      <c r="F9" s="24">
        <v>35</v>
      </c>
      <c r="G9" s="24">
        <v>22</v>
      </c>
      <c r="H9" s="24"/>
      <c r="I9" s="24"/>
      <c r="J9" s="24"/>
      <c r="K9" s="24"/>
      <c r="L9" s="24"/>
      <c r="M9" s="24"/>
      <c r="N9" s="24">
        <v>83</v>
      </c>
    </row>
    <row r="10" spans="2:14" x14ac:dyDescent="0.2">
      <c r="B10" s="22" t="s">
        <v>186</v>
      </c>
      <c r="C10" s="24"/>
      <c r="D10" s="24"/>
      <c r="E10" s="24"/>
      <c r="F10" s="24"/>
      <c r="G10" s="24"/>
      <c r="H10" s="24">
        <v>2</v>
      </c>
      <c r="I10" s="24">
        <v>1</v>
      </c>
      <c r="J10" s="24">
        <v>4</v>
      </c>
      <c r="K10" s="24">
        <v>2</v>
      </c>
      <c r="L10" s="24">
        <v>4</v>
      </c>
      <c r="M10" s="24"/>
      <c r="N10" s="24">
        <v>13</v>
      </c>
    </row>
    <row r="11" spans="2:14" x14ac:dyDescent="0.2">
      <c r="B11" s="22" t="s">
        <v>200</v>
      </c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>
        <v>2</v>
      </c>
      <c r="N11" s="24">
        <v>2</v>
      </c>
    </row>
    <row r="12" spans="2:14" x14ac:dyDescent="0.2">
      <c r="B12" s="22" t="s">
        <v>683</v>
      </c>
      <c r="C12" s="24">
        <v>12</v>
      </c>
      <c r="D12" s="24">
        <v>8</v>
      </c>
      <c r="E12" s="24">
        <v>6</v>
      </c>
      <c r="F12" s="24">
        <v>35</v>
      </c>
      <c r="G12" s="24">
        <v>22</v>
      </c>
      <c r="H12" s="24">
        <v>2</v>
      </c>
      <c r="I12" s="24">
        <v>1</v>
      </c>
      <c r="J12" s="24">
        <v>4</v>
      </c>
      <c r="K12" s="24">
        <v>2</v>
      </c>
      <c r="L12" s="24">
        <v>4</v>
      </c>
      <c r="M12" s="24">
        <v>2</v>
      </c>
      <c r="N12" s="24">
        <v>98</v>
      </c>
    </row>
    <row r="39" spans="2:6" ht="22" customHeight="1" x14ac:dyDescent="0.2">
      <c r="B39" s="12" t="s">
        <v>423</v>
      </c>
    </row>
    <row r="40" spans="2:6" x14ac:dyDescent="0.2">
      <c r="B40" s="7" t="s">
        <v>422</v>
      </c>
    </row>
    <row r="41" spans="2:6" x14ac:dyDescent="0.2">
      <c r="B41" s="21" t="s">
        <v>681</v>
      </c>
      <c r="C41" s="21" t="s">
        <v>685</v>
      </c>
    </row>
    <row r="42" spans="2:6" x14ac:dyDescent="0.2">
      <c r="B42" s="21" t="s">
        <v>680</v>
      </c>
      <c r="C42" t="s">
        <v>180</v>
      </c>
      <c r="D42" t="s">
        <v>186</v>
      </c>
      <c r="E42" t="s">
        <v>200</v>
      </c>
      <c r="F42" t="s">
        <v>683</v>
      </c>
    </row>
    <row r="43" spans="2:6" x14ac:dyDescent="0.2">
      <c r="B43" s="22" t="s">
        <v>59</v>
      </c>
      <c r="C43" s="24">
        <v>12</v>
      </c>
      <c r="D43" s="24">
        <v>2</v>
      </c>
      <c r="E43" s="24"/>
      <c r="F43" s="24">
        <v>14</v>
      </c>
    </row>
    <row r="44" spans="2:6" x14ac:dyDescent="0.2">
      <c r="B44" s="22" t="s">
        <v>56</v>
      </c>
      <c r="C44" s="24">
        <v>8</v>
      </c>
      <c r="D44" s="24">
        <v>4</v>
      </c>
      <c r="E44" s="24"/>
      <c r="F44" s="24">
        <v>12</v>
      </c>
    </row>
    <row r="45" spans="2:6" x14ac:dyDescent="0.2">
      <c r="B45" s="22" t="s">
        <v>67</v>
      </c>
      <c r="C45" s="24">
        <v>6</v>
      </c>
      <c r="D45" s="24"/>
      <c r="E45" s="24"/>
      <c r="F45" s="24">
        <v>6</v>
      </c>
    </row>
    <row r="46" spans="2:6" x14ac:dyDescent="0.2">
      <c r="B46" s="22" t="s">
        <v>62</v>
      </c>
      <c r="C46" s="24">
        <v>35</v>
      </c>
      <c r="D46" s="24">
        <v>1</v>
      </c>
      <c r="E46" s="24"/>
      <c r="F46" s="24">
        <v>36</v>
      </c>
    </row>
    <row r="47" spans="2:6" x14ac:dyDescent="0.2">
      <c r="B47" s="22" t="s">
        <v>63</v>
      </c>
      <c r="C47" s="24">
        <v>22</v>
      </c>
      <c r="D47" s="24"/>
      <c r="E47" s="24"/>
      <c r="F47" s="24">
        <v>22</v>
      </c>
    </row>
    <row r="48" spans="2:6" x14ac:dyDescent="0.2">
      <c r="B48" s="22" t="s">
        <v>61</v>
      </c>
      <c r="C48" s="24"/>
      <c r="D48" s="24">
        <v>2</v>
      </c>
      <c r="E48" s="24"/>
      <c r="F48" s="24">
        <v>2</v>
      </c>
    </row>
    <row r="49" spans="2:6" x14ac:dyDescent="0.2">
      <c r="B49" s="22" t="s">
        <v>58</v>
      </c>
      <c r="C49" s="24"/>
      <c r="D49" s="24">
        <v>4</v>
      </c>
      <c r="E49" s="24"/>
      <c r="F49" s="24">
        <v>4</v>
      </c>
    </row>
    <row r="50" spans="2:6" x14ac:dyDescent="0.2">
      <c r="B50" s="22" t="s">
        <v>64</v>
      </c>
      <c r="C50" s="24"/>
      <c r="D50" s="24"/>
      <c r="E50" s="24">
        <v>2</v>
      </c>
      <c r="F50" s="24">
        <v>2</v>
      </c>
    </row>
    <row r="51" spans="2:6" x14ac:dyDescent="0.2">
      <c r="B51" s="22" t="s">
        <v>683</v>
      </c>
      <c r="C51" s="24">
        <v>83</v>
      </c>
      <c r="D51" s="24">
        <v>13</v>
      </c>
      <c r="E51" s="24">
        <v>2</v>
      </c>
      <c r="F51" s="24">
        <v>98</v>
      </c>
    </row>
    <row r="72" spans="2:2" x14ac:dyDescent="0.2">
      <c r="B72" s="6" t="s">
        <v>163</v>
      </c>
    </row>
  </sheetData>
  <hyperlinks>
    <hyperlink ref="B72" location="Home!A1" display="Back to Home" xr:uid="{00000000-0004-0000-1A00-000000000000}"/>
  </hyperlinks>
  <pageMargins left="0.35" right="0.35" top="0.6" bottom="0.6" header="0.25" footer="0.25"/>
  <pageSetup paperSize="9" fitToHeight="0" orientation="landscape"/>
  <headerFooter>
    <oddFooter>&amp;LLlantera Aceites Inventario&amp;RPage &amp;P of &amp;N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>
    <tabColor rgb="FF7C3AED"/>
    <pageSetUpPr fitToPage="1"/>
  </sheetPr>
  <dimension ref="B1:I72"/>
  <sheetViews>
    <sheetView showGridLines="0" zoomScale="90" zoomScaleNormal="90" workbookViewId="0"/>
  </sheetViews>
  <sheetFormatPr baseColWidth="10" defaultColWidth="8.83203125" defaultRowHeight="15" x14ac:dyDescent="0.2"/>
  <cols>
    <col min="1" max="1" width="3" customWidth="1"/>
    <col min="2" max="2" width="31.33203125" bestFit="1" customWidth="1"/>
    <col min="3" max="3" width="20.33203125" bestFit="1" customWidth="1"/>
    <col min="4" max="5" width="14.5" bestFit="1" customWidth="1"/>
    <col min="6" max="6" width="18" customWidth="1"/>
    <col min="7" max="7" width="15.83203125" bestFit="1" customWidth="1"/>
    <col min="8" max="8" width="9.5" bestFit="1" customWidth="1"/>
    <col min="9" max="9" width="11.1640625" bestFit="1" customWidth="1"/>
    <col min="10" max="12" width="18" customWidth="1"/>
  </cols>
  <sheetData>
    <row r="1" spans="2:3" ht="8" customHeight="1" x14ac:dyDescent="0.2"/>
    <row r="2" spans="2:3" ht="30" customHeight="1" x14ac:dyDescent="0.35">
      <c r="B2" s="15" t="s">
        <v>31</v>
      </c>
    </row>
    <row r="3" spans="2:3" x14ac:dyDescent="0.2">
      <c r="B3" s="7" t="s">
        <v>424</v>
      </c>
    </row>
    <row r="5" spans="2:3" ht="22" customHeight="1" x14ac:dyDescent="0.2">
      <c r="B5" s="12" t="s">
        <v>4</v>
      </c>
    </row>
    <row r="6" spans="2:3" x14ac:dyDescent="0.2">
      <c r="B6" s="7" t="s">
        <v>422</v>
      </c>
    </row>
    <row r="7" spans="2:3" x14ac:dyDescent="0.2">
      <c r="B7" s="21" t="s">
        <v>680</v>
      </c>
      <c r="C7" t="s">
        <v>684</v>
      </c>
    </row>
    <row r="8" spans="2:3" x14ac:dyDescent="0.2">
      <c r="B8" s="22" t="s">
        <v>326</v>
      </c>
      <c r="C8" s="24">
        <v>26</v>
      </c>
    </row>
    <row r="9" spans="2:3" x14ac:dyDescent="0.2">
      <c r="B9" s="22" t="s">
        <v>329</v>
      </c>
      <c r="C9" s="24">
        <v>4</v>
      </c>
    </row>
    <row r="10" spans="2:3" x14ac:dyDescent="0.2">
      <c r="B10" s="22" t="s">
        <v>332</v>
      </c>
      <c r="C10" s="24">
        <v>10</v>
      </c>
    </row>
    <row r="11" spans="2:3" x14ac:dyDescent="0.2">
      <c r="B11" s="22" t="s">
        <v>335</v>
      </c>
      <c r="C11" s="24">
        <v>97</v>
      </c>
    </row>
    <row r="12" spans="2:3" x14ac:dyDescent="0.2">
      <c r="B12" s="22" t="s">
        <v>337</v>
      </c>
      <c r="C12" s="24">
        <v>32</v>
      </c>
    </row>
    <row r="13" spans="2:3" x14ac:dyDescent="0.2">
      <c r="B13" s="22" t="s">
        <v>340</v>
      </c>
      <c r="C13" s="24">
        <v>50</v>
      </c>
    </row>
    <row r="14" spans="2:3" x14ac:dyDescent="0.2">
      <c r="B14" s="22" t="s">
        <v>683</v>
      </c>
      <c r="C14" s="24">
        <v>219</v>
      </c>
    </row>
    <row r="39" spans="2:9" ht="22" customHeight="1" x14ac:dyDescent="0.2">
      <c r="B39" s="12" t="s">
        <v>425</v>
      </c>
    </row>
    <row r="40" spans="2:9" x14ac:dyDescent="0.2">
      <c r="B40" s="7" t="s">
        <v>422</v>
      </c>
    </row>
    <row r="41" spans="2:9" x14ac:dyDescent="0.2">
      <c r="B41" s="21" t="s">
        <v>684</v>
      </c>
      <c r="C41" s="21" t="s">
        <v>685</v>
      </c>
    </row>
    <row r="42" spans="2:9" x14ac:dyDescent="0.2">
      <c r="B42" s="21" t="s">
        <v>680</v>
      </c>
      <c r="C42" t="s">
        <v>326</v>
      </c>
      <c r="D42" t="s">
        <v>329</v>
      </c>
      <c r="E42" t="s">
        <v>332</v>
      </c>
      <c r="F42" t="s">
        <v>335</v>
      </c>
      <c r="G42" t="s">
        <v>337</v>
      </c>
      <c r="H42" t="s">
        <v>340</v>
      </c>
      <c r="I42" t="s">
        <v>683</v>
      </c>
    </row>
    <row r="43" spans="2:9" x14ac:dyDescent="0.2">
      <c r="B43" s="22" t="s">
        <v>59</v>
      </c>
      <c r="C43" s="24">
        <v>12</v>
      </c>
      <c r="D43" s="24"/>
      <c r="E43" s="24"/>
      <c r="F43" s="24"/>
      <c r="G43" s="24"/>
      <c r="H43" s="24"/>
      <c r="I43" s="24">
        <v>12</v>
      </c>
    </row>
    <row r="44" spans="2:9" x14ac:dyDescent="0.2">
      <c r="B44" s="22" t="s">
        <v>56</v>
      </c>
      <c r="C44" s="24">
        <v>8</v>
      </c>
      <c r="D44" s="24"/>
      <c r="E44" s="24"/>
      <c r="F44" s="24"/>
      <c r="G44" s="24"/>
      <c r="H44" s="24"/>
      <c r="I44" s="24">
        <v>8</v>
      </c>
    </row>
    <row r="45" spans="2:9" x14ac:dyDescent="0.2">
      <c r="B45" s="22" t="s">
        <v>67</v>
      </c>
      <c r="C45" s="24">
        <v>6</v>
      </c>
      <c r="D45" s="24"/>
      <c r="E45" s="24"/>
      <c r="F45" s="24"/>
      <c r="G45" s="24"/>
      <c r="H45" s="24"/>
      <c r="I45" s="24">
        <v>6</v>
      </c>
    </row>
    <row r="46" spans="2:9" x14ac:dyDescent="0.2">
      <c r="B46" s="22" t="s">
        <v>65</v>
      </c>
      <c r="C46" s="24"/>
      <c r="D46" s="24">
        <v>4</v>
      </c>
      <c r="E46" s="24"/>
      <c r="F46" s="24"/>
      <c r="G46" s="24"/>
      <c r="H46" s="24"/>
      <c r="I46" s="24">
        <v>4</v>
      </c>
    </row>
    <row r="47" spans="2:9" x14ac:dyDescent="0.2">
      <c r="B47" s="22" t="s">
        <v>66</v>
      </c>
      <c r="C47" s="24"/>
      <c r="D47" s="24"/>
      <c r="E47" s="24">
        <v>10</v>
      </c>
      <c r="F47" s="24"/>
      <c r="G47" s="24"/>
      <c r="H47" s="24"/>
      <c r="I47" s="24">
        <v>10</v>
      </c>
    </row>
    <row r="48" spans="2:9" x14ac:dyDescent="0.2">
      <c r="B48" s="22" t="s">
        <v>62</v>
      </c>
      <c r="C48" s="24"/>
      <c r="D48" s="24"/>
      <c r="E48" s="24"/>
      <c r="F48" s="24">
        <v>35</v>
      </c>
      <c r="G48" s="24"/>
      <c r="H48" s="24"/>
      <c r="I48" s="24">
        <v>35</v>
      </c>
    </row>
    <row r="49" spans="2:9" x14ac:dyDescent="0.2">
      <c r="B49" s="22" t="s">
        <v>63</v>
      </c>
      <c r="C49" s="24"/>
      <c r="D49" s="24"/>
      <c r="E49" s="24"/>
      <c r="F49" s="24">
        <v>22</v>
      </c>
      <c r="G49" s="24"/>
      <c r="H49" s="24"/>
      <c r="I49" s="24">
        <v>22</v>
      </c>
    </row>
    <row r="50" spans="2:9" x14ac:dyDescent="0.2">
      <c r="B50" s="22" t="s">
        <v>68</v>
      </c>
      <c r="C50" s="24"/>
      <c r="D50" s="24"/>
      <c r="E50" s="24"/>
      <c r="F50" s="24"/>
      <c r="G50" s="24">
        <v>18</v>
      </c>
      <c r="H50" s="24"/>
      <c r="I50" s="24">
        <v>18</v>
      </c>
    </row>
    <row r="51" spans="2:9" x14ac:dyDescent="0.2">
      <c r="B51" s="22" t="s">
        <v>61</v>
      </c>
      <c r="C51" s="24"/>
      <c r="D51" s="24"/>
      <c r="E51" s="24"/>
      <c r="F51" s="24">
        <v>40</v>
      </c>
      <c r="G51" s="24"/>
      <c r="H51" s="24"/>
      <c r="I51" s="24">
        <v>40</v>
      </c>
    </row>
    <row r="52" spans="2:9" x14ac:dyDescent="0.2">
      <c r="B52" s="22" t="s">
        <v>64</v>
      </c>
      <c r="C52" s="24"/>
      <c r="D52" s="24"/>
      <c r="E52" s="24"/>
      <c r="F52" s="24"/>
      <c r="G52" s="24">
        <v>14</v>
      </c>
      <c r="H52" s="24"/>
      <c r="I52" s="24">
        <v>14</v>
      </c>
    </row>
    <row r="53" spans="2:9" x14ac:dyDescent="0.2">
      <c r="B53" s="22" t="s">
        <v>58</v>
      </c>
      <c r="C53" s="24"/>
      <c r="D53" s="24"/>
      <c r="E53" s="24"/>
      <c r="F53" s="24"/>
      <c r="G53" s="24"/>
      <c r="H53" s="24">
        <v>50</v>
      </c>
      <c r="I53" s="24">
        <v>50</v>
      </c>
    </row>
    <row r="54" spans="2:9" x14ac:dyDescent="0.2">
      <c r="B54" s="22" t="s">
        <v>683</v>
      </c>
      <c r="C54" s="24">
        <v>26</v>
      </c>
      <c r="D54" s="24">
        <v>4</v>
      </c>
      <c r="E54" s="24">
        <v>10</v>
      </c>
      <c r="F54" s="24">
        <v>97</v>
      </c>
      <c r="G54" s="24">
        <v>32</v>
      </c>
      <c r="H54" s="24">
        <v>50</v>
      </c>
      <c r="I54" s="24">
        <v>219</v>
      </c>
    </row>
    <row r="72" spans="2:2" x14ac:dyDescent="0.2">
      <c r="B72" s="6" t="s">
        <v>163</v>
      </c>
    </row>
  </sheetData>
  <hyperlinks>
    <hyperlink ref="B72" location="Home!A1" display="Back to Home" xr:uid="{00000000-0004-0000-1B00-000000000000}"/>
  </hyperlinks>
  <pageMargins left="0.35" right="0.35" top="0.6" bottom="0.6" header="0.25" footer="0.25"/>
  <pageSetup paperSize="9" fitToHeight="0" orientation="landscape"/>
  <headerFooter>
    <oddFooter>&amp;LLlantera Aceites Inventario&amp;RPage &amp;P of &amp;N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>
    <tabColor rgb="FF7C3AED"/>
    <pageSetUpPr fitToPage="1"/>
  </sheetPr>
  <dimension ref="B1:D38"/>
  <sheetViews>
    <sheetView showGridLines="0" zoomScale="90" zoomScaleNormal="90" workbookViewId="0"/>
  </sheetViews>
  <sheetFormatPr baseColWidth="10" defaultColWidth="8.83203125" defaultRowHeight="15" x14ac:dyDescent="0.2"/>
  <cols>
    <col min="1" max="1" width="3" customWidth="1"/>
    <col min="2" max="2" width="29.1640625" bestFit="1" customWidth="1"/>
    <col min="3" max="3" width="12" bestFit="1" customWidth="1"/>
    <col min="4" max="4" width="11.6640625" bestFit="1" customWidth="1"/>
    <col min="5" max="12" width="18" customWidth="1"/>
  </cols>
  <sheetData>
    <row r="1" spans="2:4" ht="8" customHeight="1" x14ac:dyDescent="0.2"/>
    <row r="2" spans="2:4" ht="30" customHeight="1" x14ac:dyDescent="0.35">
      <c r="B2" s="15" t="s">
        <v>32</v>
      </c>
    </row>
    <row r="3" spans="2:4" x14ac:dyDescent="0.2">
      <c r="B3" s="7" t="s">
        <v>426</v>
      </c>
    </row>
    <row r="5" spans="2:4" ht="22" customHeight="1" x14ac:dyDescent="0.2">
      <c r="B5" s="12" t="s">
        <v>427</v>
      </c>
    </row>
    <row r="6" spans="2:4" x14ac:dyDescent="0.2">
      <c r="B6" s="7" t="s">
        <v>422</v>
      </c>
    </row>
    <row r="7" spans="2:4" x14ac:dyDescent="0.2">
      <c r="C7" s="21" t="s">
        <v>679</v>
      </c>
    </row>
    <row r="8" spans="2:4" x14ac:dyDescent="0.2">
      <c r="B8" s="21" t="s">
        <v>680</v>
      </c>
      <c r="C8" t="s">
        <v>681</v>
      </c>
      <c r="D8" t="s">
        <v>682</v>
      </c>
    </row>
    <row r="9" spans="2:4" x14ac:dyDescent="0.2">
      <c r="B9" s="22" t="s">
        <v>59</v>
      </c>
      <c r="C9" s="24">
        <v>12</v>
      </c>
      <c r="D9" s="24">
        <v>22200</v>
      </c>
    </row>
    <row r="10" spans="2:4" x14ac:dyDescent="0.2">
      <c r="B10" s="22" t="s">
        <v>56</v>
      </c>
      <c r="C10" s="24">
        <v>8</v>
      </c>
      <c r="D10" s="24">
        <v>16800</v>
      </c>
    </row>
    <row r="11" spans="2:4" x14ac:dyDescent="0.2">
      <c r="B11" s="22" t="s">
        <v>67</v>
      </c>
      <c r="C11" s="24">
        <v>6</v>
      </c>
      <c r="D11" s="24">
        <v>14700</v>
      </c>
    </row>
    <row r="12" spans="2:4" x14ac:dyDescent="0.2">
      <c r="B12" s="22" t="s">
        <v>62</v>
      </c>
      <c r="C12" s="24">
        <v>35</v>
      </c>
      <c r="D12" s="24">
        <v>33250</v>
      </c>
    </row>
    <row r="13" spans="2:4" x14ac:dyDescent="0.2">
      <c r="B13" s="22" t="s">
        <v>63</v>
      </c>
      <c r="C13" s="24">
        <v>22</v>
      </c>
      <c r="D13" s="24">
        <v>13640</v>
      </c>
    </row>
    <row r="14" spans="2:4" x14ac:dyDescent="0.2">
      <c r="B14" s="22" t="s">
        <v>683</v>
      </c>
      <c r="C14" s="24">
        <v>83</v>
      </c>
      <c r="D14" s="24">
        <v>100590</v>
      </c>
    </row>
    <row r="38" spans="2:2" x14ac:dyDescent="0.2">
      <c r="B38" s="6" t="s">
        <v>163</v>
      </c>
    </row>
  </sheetData>
  <hyperlinks>
    <hyperlink ref="B38" location="Home!A1" display="Back to Home" xr:uid="{00000000-0004-0000-1C00-000000000000}"/>
  </hyperlinks>
  <pageMargins left="0.35" right="0.35" top="0.6" bottom="0.6" header="0.25" footer="0.25"/>
  <pageSetup paperSize="9" fitToHeight="0" orientation="landscape"/>
  <headerFooter>
    <oddFooter>&amp;LLlantera Aceites Inventario&amp;RPage &amp;P of &amp;N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>
    <tabColor rgb="FF7C3AED"/>
    <pageSetUpPr fitToPage="1"/>
  </sheetPr>
  <dimension ref="B1:D38"/>
  <sheetViews>
    <sheetView showGridLines="0" zoomScale="90" zoomScaleNormal="90" workbookViewId="0"/>
  </sheetViews>
  <sheetFormatPr baseColWidth="10" defaultColWidth="8.83203125" defaultRowHeight="15" x14ac:dyDescent="0.2"/>
  <cols>
    <col min="1" max="1" width="3" customWidth="1"/>
    <col min="2" max="2" width="29.1640625" bestFit="1" customWidth="1"/>
    <col min="3" max="3" width="12" bestFit="1" customWidth="1"/>
    <col min="4" max="4" width="11.6640625" bestFit="1" customWidth="1"/>
    <col min="5" max="12" width="18" customWidth="1"/>
  </cols>
  <sheetData>
    <row r="1" spans="2:4" ht="8" customHeight="1" x14ac:dyDescent="0.2"/>
    <row r="2" spans="2:4" ht="30" customHeight="1" x14ac:dyDescent="0.35">
      <c r="B2" s="15" t="s">
        <v>33</v>
      </c>
    </row>
    <row r="3" spans="2:4" x14ac:dyDescent="0.2">
      <c r="B3" s="7" t="s">
        <v>428</v>
      </c>
    </row>
    <row r="5" spans="2:4" ht="22" customHeight="1" x14ac:dyDescent="0.2">
      <c r="B5" s="12" t="s">
        <v>429</v>
      </c>
    </row>
    <row r="6" spans="2:4" x14ac:dyDescent="0.2">
      <c r="B6" s="7" t="s">
        <v>422</v>
      </c>
    </row>
    <row r="7" spans="2:4" x14ac:dyDescent="0.2">
      <c r="C7" s="21" t="s">
        <v>679</v>
      </c>
    </row>
    <row r="8" spans="2:4" x14ac:dyDescent="0.2">
      <c r="B8" s="21" t="s">
        <v>680</v>
      </c>
      <c r="C8" t="s">
        <v>681</v>
      </c>
      <c r="D8" t="s">
        <v>682</v>
      </c>
    </row>
    <row r="9" spans="2:4" x14ac:dyDescent="0.2">
      <c r="B9" s="22" t="s">
        <v>59</v>
      </c>
      <c r="C9" s="24">
        <v>2</v>
      </c>
      <c r="D9" s="24">
        <v>4900</v>
      </c>
    </row>
    <row r="10" spans="2:4" x14ac:dyDescent="0.2">
      <c r="B10" s="22" t="s">
        <v>62</v>
      </c>
      <c r="C10" s="24">
        <v>1</v>
      </c>
      <c r="D10" s="24">
        <v>1290</v>
      </c>
    </row>
    <row r="11" spans="2:4" x14ac:dyDescent="0.2">
      <c r="B11" s="22" t="s">
        <v>56</v>
      </c>
      <c r="C11" s="24">
        <v>4</v>
      </c>
      <c r="D11" s="24">
        <v>11560</v>
      </c>
    </row>
    <row r="12" spans="2:4" x14ac:dyDescent="0.2">
      <c r="B12" s="22" t="s">
        <v>61</v>
      </c>
      <c r="C12" s="24">
        <v>2</v>
      </c>
      <c r="D12" s="24">
        <v>680</v>
      </c>
    </row>
    <row r="13" spans="2:4" x14ac:dyDescent="0.2">
      <c r="B13" s="22" t="s">
        <v>58</v>
      </c>
      <c r="C13" s="24">
        <v>4</v>
      </c>
      <c r="D13" s="24">
        <v>580</v>
      </c>
    </row>
    <row r="14" spans="2:4" x14ac:dyDescent="0.2">
      <c r="B14" s="22" t="s">
        <v>683</v>
      </c>
      <c r="C14" s="24">
        <v>13</v>
      </c>
      <c r="D14" s="24">
        <v>19010</v>
      </c>
    </row>
    <row r="38" spans="2:2" x14ac:dyDescent="0.2">
      <c r="B38" s="6" t="s">
        <v>163</v>
      </c>
    </row>
  </sheetData>
  <hyperlinks>
    <hyperlink ref="B38" location="Home!A1" display="Back to Home" xr:uid="{00000000-0004-0000-1D00-000000000000}"/>
  </hyperlinks>
  <pageMargins left="0.35" right="0.35" top="0.6" bottom="0.6" header="0.25" footer="0.25"/>
  <pageSetup paperSize="9" fitToHeight="0" orientation="landscape"/>
  <headerFooter>
    <oddFooter>&amp;LLlantera Aceites Inventario&amp;RPage &amp;P of &amp;N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>
    <tabColor rgb="FF6B7280"/>
    <pageSetUpPr fitToPage="1"/>
  </sheetPr>
  <dimension ref="B1:C28"/>
  <sheetViews>
    <sheetView showGridLines="0" zoomScale="90" zoomScaleNormal="90" workbookViewId="0"/>
  </sheetViews>
  <sheetFormatPr baseColWidth="10" defaultColWidth="8.83203125" defaultRowHeight="15" x14ac:dyDescent="0.2"/>
  <cols>
    <col min="1" max="1" width="3" customWidth="1"/>
    <col min="2" max="2" width="30" customWidth="1"/>
    <col min="3" max="3" width="90" customWidth="1"/>
  </cols>
  <sheetData>
    <row r="1" spans="2:3" ht="8" customHeight="1" x14ac:dyDescent="0.2"/>
    <row r="2" spans="2:3" ht="26" customHeight="1" x14ac:dyDescent="0.25">
      <c r="B2" s="2" t="s">
        <v>34</v>
      </c>
    </row>
    <row r="4" spans="2:3" ht="16" x14ac:dyDescent="0.2">
      <c r="B4" s="10" t="s">
        <v>430</v>
      </c>
      <c r="C4" s="11" t="s">
        <v>431</v>
      </c>
    </row>
    <row r="5" spans="2:3" ht="32" x14ac:dyDescent="0.2">
      <c r="B5" s="10" t="s">
        <v>432</v>
      </c>
      <c r="C5" s="11" t="s">
        <v>433</v>
      </c>
    </row>
    <row r="6" spans="2:3" ht="16" x14ac:dyDescent="0.2">
      <c r="B6" s="10" t="s">
        <v>434</v>
      </c>
      <c r="C6" s="11" t="s">
        <v>435</v>
      </c>
    </row>
    <row r="7" spans="2:3" ht="16" x14ac:dyDescent="0.2">
      <c r="B7" s="10" t="s">
        <v>21</v>
      </c>
      <c r="C7" s="11" t="s">
        <v>436</v>
      </c>
    </row>
    <row r="8" spans="2:3" ht="16" x14ac:dyDescent="0.2">
      <c r="B8" s="10" t="s">
        <v>437</v>
      </c>
      <c r="C8" s="11" t="s">
        <v>438</v>
      </c>
    </row>
    <row r="9" spans="2:3" ht="16" x14ac:dyDescent="0.2">
      <c r="B9" s="10" t="s">
        <v>439</v>
      </c>
      <c r="C9" s="11" t="s">
        <v>440</v>
      </c>
    </row>
    <row r="11" spans="2:3" x14ac:dyDescent="0.2">
      <c r="B11" s="12" t="s">
        <v>441</v>
      </c>
    </row>
    <row r="12" spans="2:3" x14ac:dyDescent="0.2">
      <c r="B12" s="10" t="s">
        <v>3</v>
      </c>
      <c r="C12" s="7"/>
    </row>
    <row r="13" spans="2:3" x14ac:dyDescent="0.2">
      <c r="B13" s="10" t="s">
        <v>4</v>
      </c>
      <c r="C13" s="7"/>
    </row>
    <row r="14" spans="2:3" x14ac:dyDescent="0.2">
      <c r="B14" s="10" t="s">
        <v>5</v>
      </c>
      <c r="C14" s="7"/>
    </row>
    <row r="15" spans="2:3" x14ac:dyDescent="0.2">
      <c r="B15" s="10" t="s">
        <v>7</v>
      </c>
      <c r="C15" s="7"/>
    </row>
    <row r="16" spans="2:3" x14ac:dyDescent="0.2">
      <c r="B16" s="10" t="s">
        <v>8</v>
      </c>
      <c r="C16" s="7"/>
    </row>
    <row r="17" spans="2:3" x14ac:dyDescent="0.2">
      <c r="B17" s="10" t="s">
        <v>9</v>
      </c>
      <c r="C17" s="7"/>
    </row>
    <row r="18" spans="2:3" x14ac:dyDescent="0.2">
      <c r="B18" s="10" t="s">
        <v>10</v>
      </c>
      <c r="C18" s="7"/>
    </row>
    <row r="19" spans="2:3" x14ac:dyDescent="0.2">
      <c r="B19" s="10" t="s">
        <v>11</v>
      </c>
      <c r="C19" s="7"/>
    </row>
    <row r="20" spans="2:3" x14ac:dyDescent="0.2">
      <c r="B20" s="10" t="s">
        <v>12</v>
      </c>
      <c r="C20" s="7"/>
    </row>
    <row r="21" spans="2:3" x14ac:dyDescent="0.2">
      <c r="B21" s="10" t="s">
        <v>13</v>
      </c>
      <c r="C21" s="7"/>
    </row>
    <row r="22" spans="2:3" x14ac:dyDescent="0.2">
      <c r="B22" s="10" t="s">
        <v>14</v>
      </c>
      <c r="C22" s="7"/>
    </row>
    <row r="23" spans="2:3" x14ac:dyDescent="0.2">
      <c r="B23" s="10" t="s">
        <v>15</v>
      </c>
      <c r="C23" s="7"/>
    </row>
    <row r="24" spans="2:3" x14ac:dyDescent="0.2">
      <c r="B24" s="10" t="s">
        <v>16</v>
      </c>
      <c r="C24" s="7"/>
    </row>
    <row r="25" spans="2:3" x14ac:dyDescent="0.2">
      <c r="B25" s="10" t="s">
        <v>17</v>
      </c>
      <c r="C25" s="7"/>
    </row>
    <row r="26" spans="2:3" x14ac:dyDescent="0.2">
      <c r="B26" s="10" t="s">
        <v>18</v>
      </c>
      <c r="C26" s="7"/>
    </row>
    <row r="27" spans="2:3" x14ac:dyDescent="0.2">
      <c r="B27" s="10" t="s">
        <v>19</v>
      </c>
      <c r="C27" s="7"/>
    </row>
    <row r="28" spans="2:3" x14ac:dyDescent="0.2">
      <c r="B28" s="6" t="s">
        <v>69</v>
      </c>
    </row>
  </sheetData>
  <hyperlinks>
    <hyperlink ref="B28" location="Home!A1" display="← Back to Home" xr:uid="{00000000-0004-0000-1E00-000000000000}"/>
  </hyperlinks>
  <pageMargins left="0.35" right="0.35" top="0.6" bottom="0.6" header="0.25" footer="0.25"/>
  <pageSetup paperSize="9" fitToHeight="0" orientation="portrait"/>
  <headerFooter>
    <oddFooter>&amp;LLlantera Aceites Inventario&amp;RPage &amp;P of &amp;N</odd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>
    <tabColor rgb="FF9CA3AF"/>
  </sheetPr>
  <dimension ref="A1:B14"/>
  <sheetViews>
    <sheetView workbookViewId="0"/>
  </sheetViews>
  <sheetFormatPr baseColWidth="10" defaultColWidth="8.83203125" defaultRowHeight="15" x14ac:dyDescent="0.2"/>
  <sheetData>
    <row r="1" spans="1:2" x14ac:dyDescent="0.2">
      <c r="A1" t="s">
        <v>442</v>
      </c>
      <c r="B1" t="s">
        <v>443</v>
      </c>
    </row>
    <row r="2" spans="1:2" x14ac:dyDescent="0.2">
      <c r="A2" t="s">
        <v>444</v>
      </c>
      <c r="B2" t="s">
        <v>445</v>
      </c>
    </row>
    <row r="3" spans="1:2" x14ac:dyDescent="0.2">
      <c r="A3" t="s">
        <v>446</v>
      </c>
      <c r="B3" t="s">
        <v>0</v>
      </c>
    </row>
    <row r="4" spans="1:2" x14ac:dyDescent="0.2">
      <c r="A4" t="s">
        <v>447</v>
      </c>
      <c r="B4" t="s">
        <v>448</v>
      </c>
    </row>
    <row r="5" spans="1:2" x14ac:dyDescent="0.2">
      <c r="A5" t="s">
        <v>449</v>
      </c>
      <c r="B5" t="s">
        <v>450</v>
      </c>
    </row>
    <row r="6" spans="1:2" x14ac:dyDescent="0.2">
      <c r="A6" t="s">
        <v>451</v>
      </c>
      <c r="B6" t="s">
        <v>452</v>
      </c>
    </row>
    <row r="7" spans="1:2" x14ac:dyDescent="0.2">
      <c r="A7" t="s">
        <v>453</v>
      </c>
      <c r="B7" t="s">
        <v>452</v>
      </c>
    </row>
    <row r="8" spans="1:2" x14ac:dyDescent="0.2">
      <c r="A8" t="s">
        <v>454</v>
      </c>
      <c r="B8" t="s">
        <v>455</v>
      </c>
    </row>
    <row r="9" spans="1:2" x14ac:dyDescent="0.2">
      <c r="A9" t="s">
        <v>456</v>
      </c>
      <c r="B9" t="s">
        <v>457</v>
      </c>
    </row>
    <row r="10" spans="1:2" x14ac:dyDescent="0.2">
      <c r="A10" t="s">
        <v>458</v>
      </c>
      <c r="B10" t="s">
        <v>459</v>
      </c>
    </row>
    <row r="11" spans="1:2" x14ac:dyDescent="0.2">
      <c r="A11" t="s">
        <v>460</v>
      </c>
      <c r="B11" t="s">
        <v>461</v>
      </c>
    </row>
    <row r="12" spans="1:2" x14ac:dyDescent="0.2">
      <c r="A12" t="s">
        <v>462</v>
      </c>
      <c r="B12" t="s">
        <v>463</v>
      </c>
    </row>
    <row r="13" spans="1:2" x14ac:dyDescent="0.2">
      <c r="A13" t="s">
        <v>678</v>
      </c>
      <c r="B13" t="s">
        <v>687</v>
      </c>
    </row>
    <row r="14" spans="1:2" x14ac:dyDescent="0.2">
      <c r="A14" t="s">
        <v>686</v>
      </c>
      <c r="B14" t="s">
        <v>688</v>
      </c>
    </row>
  </sheetData>
  <pageMargins left="0.35" right="0.35" top="0.6" bottom="0.6" header="0.25" footer="0.25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>
    <tabColor rgb="FF9CA3AF"/>
  </sheetPr>
  <dimension ref="A1:J17"/>
  <sheetViews>
    <sheetView workbookViewId="0"/>
  </sheetViews>
  <sheetFormatPr baseColWidth="10" defaultColWidth="8.83203125" defaultRowHeight="15" x14ac:dyDescent="0.2"/>
  <sheetData>
    <row r="1" spans="1:10" x14ac:dyDescent="0.2">
      <c r="A1" s="10" t="s">
        <v>464</v>
      </c>
      <c r="B1" s="10" t="s">
        <v>465</v>
      </c>
      <c r="C1" s="10" t="s">
        <v>466</v>
      </c>
      <c r="D1" s="10" t="s">
        <v>467</v>
      </c>
      <c r="E1" s="10" t="s">
        <v>468</v>
      </c>
      <c r="F1" s="10" t="s">
        <v>469</v>
      </c>
      <c r="G1" s="10" t="s">
        <v>470</v>
      </c>
      <c r="H1" s="10" t="s">
        <v>471</v>
      </c>
      <c r="I1" s="10" t="s">
        <v>472</v>
      </c>
      <c r="J1" s="10" t="s">
        <v>473</v>
      </c>
    </row>
    <row r="2" spans="1:10" x14ac:dyDescent="0.2">
      <c r="A2" t="s">
        <v>474</v>
      </c>
      <c r="B2" t="s">
        <v>3</v>
      </c>
      <c r="C2" t="s">
        <v>475</v>
      </c>
      <c r="D2" t="s">
        <v>371</v>
      </c>
      <c r="E2" t="s">
        <v>3</v>
      </c>
      <c r="F2" t="s">
        <v>476</v>
      </c>
      <c r="G2" t="s">
        <v>70</v>
      </c>
      <c r="H2" t="s">
        <v>477</v>
      </c>
    </row>
    <row r="3" spans="1:10" x14ac:dyDescent="0.2">
      <c r="A3" t="s">
        <v>478</v>
      </c>
      <c r="B3" t="s">
        <v>4</v>
      </c>
      <c r="C3" t="s">
        <v>479</v>
      </c>
      <c r="D3" t="s">
        <v>4</v>
      </c>
      <c r="E3" t="s">
        <v>4</v>
      </c>
      <c r="F3" t="s">
        <v>476</v>
      </c>
      <c r="G3" t="s">
        <v>70</v>
      </c>
      <c r="H3" t="s">
        <v>477</v>
      </c>
    </row>
    <row r="4" spans="1:10" x14ac:dyDescent="0.2">
      <c r="A4" t="s">
        <v>480</v>
      </c>
      <c r="B4" t="s">
        <v>5</v>
      </c>
      <c r="C4" t="s">
        <v>481</v>
      </c>
      <c r="D4" t="s">
        <v>482</v>
      </c>
      <c r="E4" t="s">
        <v>5</v>
      </c>
      <c r="F4" t="s">
        <v>476</v>
      </c>
      <c r="G4" t="s">
        <v>70</v>
      </c>
      <c r="H4" t="s">
        <v>477</v>
      </c>
    </row>
    <row r="5" spans="1:10" x14ac:dyDescent="0.2">
      <c r="A5" t="s">
        <v>483</v>
      </c>
      <c r="B5" t="s">
        <v>7</v>
      </c>
      <c r="C5" t="s">
        <v>484</v>
      </c>
      <c r="D5" t="s">
        <v>485</v>
      </c>
      <c r="E5" t="s">
        <v>7</v>
      </c>
      <c r="F5" t="s">
        <v>476</v>
      </c>
      <c r="G5" t="s">
        <v>70</v>
      </c>
      <c r="H5" t="s">
        <v>477</v>
      </c>
    </row>
    <row r="6" spans="1:10" x14ac:dyDescent="0.2">
      <c r="A6" t="s">
        <v>486</v>
      </c>
      <c r="B6" t="s">
        <v>8</v>
      </c>
      <c r="C6" t="s">
        <v>487</v>
      </c>
      <c r="D6" t="s">
        <v>8</v>
      </c>
      <c r="E6" t="s">
        <v>8</v>
      </c>
      <c r="F6" t="s">
        <v>476</v>
      </c>
      <c r="G6" t="s">
        <v>70</v>
      </c>
      <c r="H6" t="s">
        <v>477</v>
      </c>
    </row>
    <row r="7" spans="1:10" x14ac:dyDescent="0.2">
      <c r="A7" t="s">
        <v>488</v>
      </c>
      <c r="B7" t="s">
        <v>9</v>
      </c>
      <c r="C7" t="s">
        <v>489</v>
      </c>
      <c r="D7" t="s">
        <v>490</v>
      </c>
      <c r="E7" t="s">
        <v>9</v>
      </c>
      <c r="F7" t="s">
        <v>476</v>
      </c>
      <c r="G7" t="s">
        <v>70</v>
      </c>
      <c r="H7" t="s">
        <v>477</v>
      </c>
    </row>
    <row r="8" spans="1:10" x14ac:dyDescent="0.2">
      <c r="A8" t="s">
        <v>491</v>
      </c>
      <c r="B8" t="s">
        <v>10</v>
      </c>
      <c r="C8" t="s">
        <v>492</v>
      </c>
      <c r="D8" t="s">
        <v>10</v>
      </c>
      <c r="E8" t="s">
        <v>10</v>
      </c>
      <c r="F8" t="s">
        <v>476</v>
      </c>
      <c r="G8" t="s">
        <v>70</v>
      </c>
      <c r="H8" t="s">
        <v>477</v>
      </c>
    </row>
    <row r="9" spans="1:10" x14ac:dyDescent="0.2">
      <c r="A9" t="s">
        <v>493</v>
      </c>
      <c r="B9" t="s">
        <v>11</v>
      </c>
      <c r="C9" t="s">
        <v>494</v>
      </c>
      <c r="D9" t="s">
        <v>495</v>
      </c>
      <c r="E9" t="s">
        <v>11</v>
      </c>
      <c r="F9" t="s">
        <v>476</v>
      </c>
      <c r="G9" t="s">
        <v>70</v>
      </c>
      <c r="H9" t="s">
        <v>477</v>
      </c>
    </row>
    <row r="10" spans="1:10" x14ac:dyDescent="0.2">
      <c r="A10" t="s">
        <v>496</v>
      </c>
      <c r="B10" t="s">
        <v>12</v>
      </c>
      <c r="C10" t="s">
        <v>497</v>
      </c>
      <c r="D10" t="s">
        <v>12</v>
      </c>
      <c r="E10" t="s">
        <v>12</v>
      </c>
      <c r="F10" t="s">
        <v>476</v>
      </c>
      <c r="G10" t="s">
        <v>70</v>
      </c>
      <c r="H10" t="s">
        <v>477</v>
      </c>
    </row>
    <row r="11" spans="1:10" x14ac:dyDescent="0.2">
      <c r="A11" t="s">
        <v>498</v>
      </c>
      <c r="B11" t="s">
        <v>13</v>
      </c>
      <c r="C11" t="s">
        <v>499</v>
      </c>
      <c r="D11" t="s">
        <v>500</v>
      </c>
      <c r="E11" t="s">
        <v>13</v>
      </c>
      <c r="F11" t="s">
        <v>476</v>
      </c>
      <c r="G11" t="s">
        <v>70</v>
      </c>
      <c r="H11" t="s">
        <v>477</v>
      </c>
    </row>
    <row r="12" spans="1:10" x14ac:dyDescent="0.2">
      <c r="A12" t="s">
        <v>501</v>
      </c>
      <c r="B12" t="s">
        <v>14</v>
      </c>
      <c r="C12" t="s">
        <v>502</v>
      </c>
      <c r="D12" t="s">
        <v>503</v>
      </c>
      <c r="E12" t="s">
        <v>14</v>
      </c>
      <c r="F12" t="s">
        <v>476</v>
      </c>
      <c r="G12" t="s">
        <v>70</v>
      </c>
      <c r="H12" t="s">
        <v>477</v>
      </c>
    </row>
    <row r="13" spans="1:10" x14ac:dyDescent="0.2">
      <c r="A13" t="s">
        <v>504</v>
      </c>
      <c r="B13" t="s">
        <v>15</v>
      </c>
      <c r="C13" t="s">
        <v>505</v>
      </c>
      <c r="D13" t="s">
        <v>506</v>
      </c>
      <c r="E13" t="s">
        <v>15</v>
      </c>
      <c r="F13" t="s">
        <v>476</v>
      </c>
      <c r="G13" t="s">
        <v>70</v>
      </c>
      <c r="H13" t="s">
        <v>477</v>
      </c>
    </row>
    <row r="14" spans="1:10" x14ac:dyDescent="0.2">
      <c r="A14" t="s">
        <v>507</v>
      </c>
      <c r="B14" t="s">
        <v>16</v>
      </c>
      <c r="C14" t="s">
        <v>508</v>
      </c>
      <c r="D14" t="s">
        <v>372</v>
      </c>
      <c r="E14" t="s">
        <v>16</v>
      </c>
      <c r="F14" t="s">
        <v>476</v>
      </c>
      <c r="G14" t="s">
        <v>70</v>
      </c>
      <c r="H14" t="s">
        <v>477</v>
      </c>
    </row>
    <row r="15" spans="1:10" x14ac:dyDescent="0.2">
      <c r="A15" t="s">
        <v>509</v>
      </c>
      <c r="B15" t="s">
        <v>17</v>
      </c>
      <c r="C15" t="s">
        <v>510</v>
      </c>
      <c r="D15" t="s">
        <v>511</v>
      </c>
      <c r="E15" t="s">
        <v>17</v>
      </c>
      <c r="F15" t="s">
        <v>476</v>
      </c>
      <c r="G15" t="s">
        <v>70</v>
      </c>
      <c r="H15" t="s">
        <v>477</v>
      </c>
    </row>
    <row r="16" spans="1:10" x14ac:dyDescent="0.2">
      <c r="A16" t="s">
        <v>512</v>
      </c>
      <c r="B16" t="s">
        <v>18</v>
      </c>
      <c r="C16" t="s">
        <v>513</v>
      </c>
      <c r="D16" t="s">
        <v>265</v>
      </c>
      <c r="E16" t="s">
        <v>18</v>
      </c>
      <c r="F16" t="s">
        <v>476</v>
      </c>
      <c r="G16" t="s">
        <v>70</v>
      </c>
      <c r="H16" t="s">
        <v>477</v>
      </c>
    </row>
    <row r="17" spans="1:8" x14ac:dyDescent="0.2">
      <c r="A17" t="s">
        <v>514</v>
      </c>
      <c r="B17" t="s">
        <v>19</v>
      </c>
      <c r="C17" t="s">
        <v>515</v>
      </c>
      <c r="D17" t="s">
        <v>516</v>
      </c>
      <c r="E17" t="s">
        <v>19</v>
      </c>
      <c r="F17" t="s">
        <v>476</v>
      </c>
      <c r="G17" t="s">
        <v>70</v>
      </c>
      <c r="H17" t="s">
        <v>477</v>
      </c>
    </row>
  </sheetData>
  <pageMargins left="0.35" right="0.35" top="0.6" bottom="0.6" header="0.25" footer="0.25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>
    <tabColor rgb="FF9CA3AF"/>
  </sheetPr>
  <dimension ref="A1:S177"/>
  <sheetViews>
    <sheetView workbookViewId="0"/>
  </sheetViews>
  <sheetFormatPr baseColWidth="10" defaultColWidth="8.83203125" defaultRowHeight="15" x14ac:dyDescent="0.2"/>
  <sheetData>
    <row r="1" spans="1:19" x14ac:dyDescent="0.2">
      <c r="A1" s="10" t="s">
        <v>464</v>
      </c>
      <c r="B1" s="10" t="s">
        <v>517</v>
      </c>
      <c r="C1" s="10" t="s">
        <v>518</v>
      </c>
      <c r="D1" s="10" t="s">
        <v>519</v>
      </c>
      <c r="E1" s="10" t="s">
        <v>520</v>
      </c>
      <c r="F1" s="10" t="s">
        <v>521</v>
      </c>
      <c r="G1" s="10" t="s">
        <v>522</v>
      </c>
      <c r="H1" s="10" t="s">
        <v>523</v>
      </c>
      <c r="I1" s="10" t="s">
        <v>524</v>
      </c>
      <c r="J1" s="10" t="s">
        <v>525</v>
      </c>
      <c r="K1" s="10" t="s">
        <v>526</v>
      </c>
      <c r="L1" s="10" t="s">
        <v>527</v>
      </c>
      <c r="M1" s="10" t="s">
        <v>528</v>
      </c>
      <c r="N1" s="10" t="s">
        <v>529</v>
      </c>
      <c r="O1" s="10" t="s">
        <v>530</v>
      </c>
      <c r="P1" s="10" t="s">
        <v>531</v>
      </c>
      <c r="Q1" s="10" t="s">
        <v>532</v>
      </c>
      <c r="R1" s="10" t="s">
        <v>533</v>
      </c>
      <c r="S1" s="10" t="s">
        <v>534</v>
      </c>
    </row>
    <row r="2" spans="1:19" x14ac:dyDescent="0.2">
      <c r="A2" t="s">
        <v>474</v>
      </c>
      <c r="B2" t="s">
        <v>70</v>
      </c>
      <c r="C2" t="s">
        <v>476</v>
      </c>
      <c r="D2" t="s">
        <v>535</v>
      </c>
      <c r="E2" t="s">
        <v>536</v>
      </c>
      <c r="F2" t="s">
        <v>459</v>
      </c>
      <c r="G2" t="s">
        <v>477</v>
      </c>
      <c r="H2" t="s">
        <v>477</v>
      </c>
      <c r="I2" t="s">
        <v>477</v>
      </c>
      <c r="J2" t="s">
        <v>477</v>
      </c>
      <c r="Q2" t="s">
        <v>477</v>
      </c>
      <c r="R2" t="s">
        <v>477</v>
      </c>
      <c r="S2" t="s">
        <v>477</v>
      </c>
    </row>
    <row r="3" spans="1:19" x14ac:dyDescent="0.2">
      <c r="A3" t="s">
        <v>474</v>
      </c>
      <c r="B3" t="s">
        <v>71</v>
      </c>
      <c r="C3" t="s">
        <v>537</v>
      </c>
      <c r="D3" t="s">
        <v>538</v>
      </c>
      <c r="E3" t="s">
        <v>539</v>
      </c>
      <c r="F3" t="s">
        <v>477</v>
      </c>
      <c r="G3" t="s">
        <v>477</v>
      </c>
      <c r="H3" t="s">
        <v>459</v>
      </c>
      <c r="I3" t="s">
        <v>477</v>
      </c>
      <c r="J3" t="s">
        <v>477</v>
      </c>
      <c r="Q3" t="s">
        <v>459</v>
      </c>
      <c r="R3" t="s">
        <v>459</v>
      </c>
      <c r="S3" t="s">
        <v>540</v>
      </c>
    </row>
    <row r="4" spans="1:19" x14ac:dyDescent="0.2">
      <c r="A4" t="s">
        <v>474</v>
      </c>
      <c r="B4" t="s">
        <v>72</v>
      </c>
      <c r="C4" t="s">
        <v>541</v>
      </c>
      <c r="D4" t="s">
        <v>538</v>
      </c>
      <c r="E4" t="s">
        <v>539</v>
      </c>
      <c r="F4" t="s">
        <v>477</v>
      </c>
      <c r="G4" t="s">
        <v>477</v>
      </c>
      <c r="H4" t="s">
        <v>477</v>
      </c>
      <c r="I4" t="s">
        <v>477</v>
      </c>
      <c r="J4" t="s">
        <v>477</v>
      </c>
      <c r="Q4" t="s">
        <v>459</v>
      </c>
      <c r="R4" t="s">
        <v>459</v>
      </c>
      <c r="S4" t="s">
        <v>542</v>
      </c>
    </row>
    <row r="5" spans="1:19" x14ac:dyDescent="0.2">
      <c r="A5" t="s">
        <v>474</v>
      </c>
      <c r="B5" t="s">
        <v>73</v>
      </c>
      <c r="C5" t="s">
        <v>543</v>
      </c>
      <c r="D5" t="s">
        <v>538</v>
      </c>
      <c r="E5" t="s">
        <v>539</v>
      </c>
      <c r="F5" t="s">
        <v>477</v>
      </c>
      <c r="G5" t="s">
        <v>477</v>
      </c>
      <c r="H5" t="s">
        <v>459</v>
      </c>
      <c r="I5" t="s">
        <v>477</v>
      </c>
      <c r="J5" t="s">
        <v>477</v>
      </c>
      <c r="Q5" t="s">
        <v>459</v>
      </c>
      <c r="R5" t="s">
        <v>459</v>
      </c>
      <c r="S5" t="s">
        <v>544</v>
      </c>
    </row>
    <row r="6" spans="1:19" x14ac:dyDescent="0.2">
      <c r="A6" t="s">
        <v>474</v>
      </c>
      <c r="B6" t="s">
        <v>74</v>
      </c>
      <c r="C6" t="s">
        <v>545</v>
      </c>
      <c r="D6" t="s">
        <v>535</v>
      </c>
      <c r="E6" t="s">
        <v>536</v>
      </c>
      <c r="F6" t="s">
        <v>477</v>
      </c>
      <c r="G6" t="s">
        <v>459</v>
      </c>
      <c r="H6" t="s">
        <v>459</v>
      </c>
      <c r="I6" t="s">
        <v>477</v>
      </c>
      <c r="J6" t="s">
        <v>477</v>
      </c>
      <c r="K6" t="s">
        <v>509</v>
      </c>
      <c r="L6" t="s">
        <v>476</v>
      </c>
      <c r="M6" t="s">
        <v>543</v>
      </c>
      <c r="Q6" t="s">
        <v>459</v>
      </c>
      <c r="R6" t="s">
        <v>459</v>
      </c>
      <c r="S6" t="s">
        <v>546</v>
      </c>
    </row>
    <row r="7" spans="1:19" x14ac:dyDescent="0.2">
      <c r="A7" t="s">
        <v>474</v>
      </c>
      <c r="B7" t="s">
        <v>75</v>
      </c>
      <c r="D7" t="s">
        <v>538</v>
      </c>
      <c r="F7" t="s">
        <v>477</v>
      </c>
      <c r="G7" t="s">
        <v>477</v>
      </c>
      <c r="H7" t="s">
        <v>477</v>
      </c>
      <c r="I7" t="s">
        <v>477</v>
      </c>
      <c r="J7" t="s">
        <v>459</v>
      </c>
      <c r="Q7" t="s">
        <v>459</v>
      </c>
      <c r="R7" t="s">
        <v>459</v>
      </c>
      <c r="S7" t="s">
        <v>477</v>
      </c>
    </row>
    <row r="8" spans="1:19" x14ac:dyDescent="0.2">
      <c r="A8" t="s">
        <v>474</v>
      </c>
      <c r="B8" t="s">
        <v>76</v>
      </c>
      <c r="C8" t="s">
        <v>547</v>
      </c>
      <c r="D8" t="s">
        <v>535</v>
      </c>
      <c r="E8" t="s">
        <v>536</v>
      </c>
      <c r="F8" t="s">
        <v>477</v>
      </c>
      <c r="G8" t="s">
        <v>459</v>
      </c>
      <c r="H8" t="s">
        <v>459</v>
      </c>
      <c r="I8" t="s">
        <v>477</v>
      </c>
      <c r="J8" t="s">
        <v>477</v>
      </c>
      <c r="K8" t="s">
        <v>512</v>
      </c>
      <c r="L8" t="s">
        <v>476</v>
      </c>
      <c r="M8" t="s">
        <v>543</v>
      </c>
      <c r="Q8" t="s">
        <v>459</v>
      </c>
      <c r="R8" t="s">
        <v>459</v>
      </c>
      <c r="S8" t="s">
        <v>548</v>
      </c>
    </row>
    <row r="9" spans="1:19" x14ac:dyDescent="0.2">
      <c r="A9" t="s">
        <v>474</v>
      </c>
      <c r="B9" t="s">
        <v>77</v>
      </c>
      <c r="D9" t="s">
        <v>538</v>
      </c>
      <c r="F9" t="s">
        <v>477</v>
      </c>
      <c r="G9" t="s">
        <v>477</v>
      </c>
      <c r="H9" t="s">
        <v>477</v>
      </c>
      <c r="I9" t="s">
        <v>477</v>
      </c>
      <c r="J9" t="s">
        <v>459</v>
      </c>
      <c r="Q9" t="s">
        <v>459</v>
      </c>
      <c r="R9" t="s">
        <v>459</v>
      </c>
      <c r="S9" t="s">
        <v>477</v>
      </c>
    </row>
    <row r="10" spans="1:19" x14ac:dyDescent="0.2">
      <c r="A10" t="s">
        <v>474</v>
      </c>
      <c r="B10" t="s">
        <v>78</v>
      </c>
      <c r="C10" t="s">
        <v>549</v>
      </c>
      <c r="D10" t="s">
        <v>535</v>
      </c>
      <c r="E10" t="s">
        <v>536</v>
      </c>
      <c r="F10" t="s">
        <v>477</v>
      </c>
      <c r="G10" t="s">
        <v>459</v>
      </c>
      <c r="H10" t="s">
        <v>459</v>
      </c>
      <c r="I10" t="s">
        <v>477</v>
      </c>
      <c r="J10" t="s">
        <v>477</v>
      </c>
      <c r="K10" t="s">
        <v>514</v>
      </c>
      <c r="L10" t="s">
        <v>476</v>
      </c>
      <c r="M10" t="s">
        <v>543</v>
      </c>
      <c r="Q10" t="s">
        <v>459</v>
      </c>
      <c r="R10" t="s">
        <v>459</v>
      </c>
      <c r="S10" t="s">
        <v>550</v>
      </c>
    </row>
    <row r="11" spans="1:19" x14ac:dyDescent="0.2">
      <c r="A11" t="s">
        <v>474</v>
      </c>
      <c r="B11" t="s">
        <v>79</v>
      </c>
      <c r="D11" t="s">
        <v>538</v>
      </c>
      <c r="F11" t="s">
        <v>477</v>
      </c>
      <c r="G11" t="s">
        <v>477</v>
      </c>
      <c r="H11" t="s">
        <v>477</v>
      </c>
      <c r="I11" t="s">
        <v>477</v>
      </c>
      <c r="J11" t="s">
        <v>459</v>
      </c>
      <c r="Q11" t="s">
        <v>459</v>
      </c>
      <c r="R11" t="s">
        <v>459</v>
      </c>
      <c r="S11" t="s">
        <v>477</v>
      </c>
    </row>
    <row r="12" spans="1:19" x14ac:dyDescent="0.2">
      <c r="A12" t="s">
        <v>474</v>
      </c>
      <c r="B12" t="s">
        <v>80</v>
      </c>
      <c r="C12" t="s">
        <v>551</v>
      </c>
      <c r="D12" t="s">
        <v>552</v>
      </c>
      <c r="E12" t="s">
        <v>536</v>
      </c>
      <c r="F12" t="s">
        <v>477</v>
      </c>
      <c r="G12" t="s">
        <v>477</v>
      </c>
      <c r="H12" t="s">
        <v>459</v>
      </c>
      <c r="I12" t="s">
        <v>477</v>
      </c>
      <c r="J12" t="s">
        <v>477</v>
      </c>
      <c r="N12" t="s">
        <v>477</v>
      </c>
      <c r="Q12" t="s">
        <v>459</v>
      </c>
      <c r="R12" t="s">
        <v>459</v>
      </c>
      <c r="S12" t="s">
        <v>553</v>
      </c>
    </row>
    <row r="13" spans="1:19" x14ac:dyDescent="0.2">
      <c r="A13" t="s">
        <v>474</v>
      </c>
      <c r="B13" t="s">
        <v>81</v>
      </c>
      <c r="C13" t="s">
        <v>554</v>
      </c>
      <c r="D13" t="s">
        <v>552</v>
      </c>
      <c r="E13" t="s">
        <v>536</v>
      </c>
      <c r="F13" t="s">
        <v>477</v>
      </c>
      <c r="G13" t="s">
        <v>477</v>
      </c>
      <c r="H13" t="s">
        <v>459</v>
      </c>
      <c r="I13" t="s">
        <v>477</v>
      </c>
      <c r="J13" t="s">
        <v>477</v>
      </c>
      <c r="N13" t="s">
        <v>477</v>
      </c>
      <c r="Q13" t="s">
        <v>459</v>
      </c>
      <c r="R13" t="s">
        <v>459</v>
      </c>
      <c r="S13" t="s">
        <v>555</v>
      </c>
    </row>
    <row r="14" spans="1:19" x14ac:dyDescent="0.2">
      <c r="A14" t="s">
        <v>474</v>
      </c>
      <c r="B14" t="s">
        <v>82</v>
      </c>
      <c r="C14" t="s">
        <v>556</v>
      </c>
      <c r="D14" t="s">
        <v>535</v>
      </c>
      <c r="E14" t="s">
        <v>536</v>
      </c>
      <c r="F14" t="s">
        <v>477</v>
      </c>
      <c r="G14" t="s">
        <v>477</v>
      </c>
      <c r="H14" t="s">
        <v>459</v>
      </c>
      <c r="I14" t="s">
        <v>477</v>
      </c>
      <c r="J14" t="s">
        <v>477</v>
      </c>
      <c r="N14" t="s">
        <v>477</v>
      </c>
      <c r="Q14" t="s">
        <v>459</v>
      </c>
      <c r="R14" t="s">
        <v>459</v>
      </c>
      <c r="S14" t="s">
        <v>557</v>
      </c>
    </row>
    <row r="15" spans="1:19" x14ac:dyDescent="0.2">
      <c r="A15" t="s">
        <v>474</v>
      </c>
      <c r="B15" t="s">
        <v>83</v>
      </c>
      <c r="C15" t="s">
        <v>558</v>
      </c>
      <c r="D15" t="s">
        <v>535</v>
      </c>
      <c r="E15" t="s">
        <v>536</v>
      </c>
      <c r="F15" t="s">
        <v>477</v>
      </c>
      <c r="G15" t="s">
        <v>477</v>
      </c>
      <c r="H15" t="s">
        <v>459</v>
      </c>
      <c r="I15" t="s">
        <v>477</v>
      </c>
      <c r="J15" t="s">
        <v>477</v>
      </c>
      <c r="N15" t="s">
        <v>477</v>
      </c>
      <c r="Q15" t="s">
        <v>459</v>
      </c>
      <c r="R15" t="s">
        <v>459</v>
      </c>
      <c r="S15" t="s">
        <v>559</v>
      </c>
    </row>
    <row r="16" spans="1:19" x14ac:dyDescent="0.2">
      <c r="A16" t="s">
        <v>474</v>
      </c>
      <c r="B16" t="s">
        <v>84</v>
      </c>
      <c r="C16" t="s">
        <v>560</v>
      </c>
      <c r="D16" t="s">
        <v>535</v>
      </c>
      <c r="E16" t="s">
        <v>536</v>
      </c>
      <c r="F16" t="s">
        <v>477</v>
      </c>
      <c r="G16" t="s">
        <v>477</v>
      </c>
      <c r="H16" t="s">
        <v>459</v>
      </c>
      <c r="I16" t="s">
        <v>477</v>
      </c>
      <c r="J16" t="s">
        <v>477</v>
      </c>
      <c r="N16" t="s">
        <v>477</v>
      </c>
      <c r="Q16" t="s">
        <v>459</v>
      </c>
      <c r="R16" t="s">
        <v>459</v>
      </c>
      <c r="S16" t="s">
        <v>561</v>
      </c>
    </row>
    <row r="17" spans="1:19" x14ac:dyDescent="0.2">
      <c r="A17" t="s">
        <v>474</v>
      </c>
      <c r="B17" t="s">
        <v>85</v>
      </c>
      <c r="C17" t="s">
        <v>562</v>
      </c>
      <c r="D17" t="s">
        <v>535</v>
      </c>
      <c r="E17" t="s">
        <v>536</v>
      </c>
      <c r="F17" t="s">
        <v>477</v>
      </c>
      <c r="G17" t="s">
        <v>459</v>
      </c>
      <c r="H17" t="s">
        <v>477</v>
      </c>
      <c r="I17" t="s">
        <v>477</v>
      </c>
      <c r="J17" t="s">
        <v>477</v>
      </c>
      <c r="K17" t="s">
        <v>507</v>
      </c>
      <c r="L17" t="s">
        <v>476</v>
      </c>
      <c r="M17" t="s">
        <v>543</v>
      </c>
      <c r="Q17" t="s">
        <v>459</v>
      </c>
      <c r="R17" t="s">
        <v>459</v>
      </c>
      <c r="S17" t="s">
        <v>563</v>
      </c>
    </row>
    <row r="18" spans="1:19" x14ac:dyDescent="0.2">
      <c r="A18" t="s">
        <v>474</v>
      </c>
      <c r="B18" t="s">
        <v>86</v>
      </c>
      <c r="D18" t="s">
        <v>538</v>
      </c>
      <c r="F18" t="s">
        <v>477</v>
      </c>
      <c r="G18" t="s">
        <v>477</v>
      </c>
      <c r="H18" t="s">
        <v>477</v>
      </c>
      <c r="I18" t="s">
        <v>477</v>
      </c>
      <c r="J18" t="s">
        <v>459</v>
      </c>
      <c r="Q18" t="s">
        <v>459</v>
      </c>
      <c r="R18" t="s">
        <v>459</v>
      </c>
      <c r="S18" t="s">
        <v>477</v>
      </c>
    </row>
    <row r="19" spans="1:19" x14ac:dyDescent="0.2">
      <c r="A19" t="s">
        <v>474</v>
      </c>
      <c r="B19" t="s">
        <v>87</v>
      </c>
      <c r="C19" t="s">
        <v>564</v>
      </c>
      <c r="D19" t="s">
        <v>535</v>
      </c>
      <c r="E19" t="s">
        <v>536</v>
      </c>
      <c r="F19" t="s">
        <v>477</v>
      </c>
      <c r="G19" t="s">
        <v>459</v>
      </c>
      <c r="H19" t="s">
        <v>477</v>
      </c>
      <c r="I19" t="s">
        <v>477</v>
      </c>
      <c r="J19" t="s">
        <v>477</v>
      </c>
      <c r="K19" t="s">
        <v>504</v>
      </c>
      <c r="L19" t="s">
        <v>476</v>
      </c>
      <c r="M19" t="s">
        <v>543</v>
      </c>
      <c r="Q19" t="s">
        <v>459</v>
      </c>
      <c r="R19" t="s">
        <v>459</v>
      </c>
      <c r="S19" t="s">
        <v>565</v>
      </c>
    </row>
    <row r="20" spans="1:19" x14ac:dyDescent="0.2">
      <c r="A20" t="s">
        <v>474</v>
      </c>
      <c r="B20" t="s">
        <v>88</v>
      </c>
      <c r="D20" t="s">
        <v>538</v>
      </c>
      <c r="F20" t="s">
        <v>477</v>
      </c>
      <c r="G20" t="s">
        <v>477</v>
      </c>
      <c r="H20" t="s">
        <v>477</v>
      </c>
      <c r="I20" t="s">
        <v>477</v>
      </c>
      <c r="J20" t="s">
        <v>459</v>
      </c>
      <c r="Q20" t="s">
        <v>459</v>
      </c>
      <c r="R20" t="s">
        <v>459</v>
      </c>
      <c r="S20" t="s">
        <v>477</v>
      </c>
    </row>
    <row r="21" spans="1:19" x14ac:dyDescent="0.2">
      <c r="A21" t="s">
        <v>474</v>
      </c>
      <c r="B21" t="s">
        <v>89</v>
      </c>
      <c r="C21" t="s">
        <v>566</v>
      </c>
      <c r="D21" t="s">
        <v>535</v>
      </c>
      <c r="E21" t="s">
        <v>536</v>
      </c>
      <c r="F21" t="s">
        <v>477</v>
      </c>
      <c r="G21" t="s">
        <v>477</v>
      </c>
      <c r="H21" t="s">
        <v>477</v>
      </c>
      <c r="I21" t="s">
        <v>477</v>
      </c>
      <c r="J21" t="s">
        <v>477</v>
      </c>
      <c r="Q21" t="s">
        <v>459</v>
      </c>
      <c r="R21" t="s">
        <v>459</v>
      </c>
      <c r="S21" t="s">
        <v>567</v>
      </c>
    </row>
    <row r="22" spans="1:19" x14ac:dyDescent="0.2">
      <c r="A22" t="s">
        <v>474</v>
      </c>
      <c r="B22" t="s">
        <v>90</v>
      </c>
      <c r="C22" t="s">
        <v>568</v>
      </c>
      <c r="D22" t="s">
        <v>535</v>
      </c>
      <c r="E22" t="s">
        <v>536</v>
      </c>
      <c r="F22" t="s">
        <v>477</v>
      </c>
      <c r="G22" t="s">
        <v>477</v>
      </c>
      <c r="H22" t="s">
        <v>477</v>
      </c>
      <c r="I22" t="s">
        <v>477</v>
      </c>
      <c r="J22" t="s">
        <v>477</v>
      </c>
      <c r="Q22" t="s">
        <v>459</v>
      </c>
      <c r="R22" t="s">
        <v>459</v>
      </c>
      <c r="S22" t="s">
        <v>569</v>
      </c>
    </row>
    <row r="23" spans="1:19" x14ac:dyDescent="0.2">
      <c r="A23" t="s">
        <v>474</v>
      </c>
      <c r="B23" t="s">
        <v>91</v>
      </c>
      <c r="C23" t="s">
        <v>570</v>
      </c>
      <c r="D23" t="s">
        <v>535</v>
      </c>
      <c r="E23" t="s">
        <v>536</v>
      </c>
      <c r="F23" t="s">
        <v>477</v>
      </c>
      <c r="G23" t="s">
        <v>477</v>
      </c>
      <c r="H23" t="s">
        <v>477</v>
      </c>
      <c r="I23" t="s">
        <v>477</v>
      </c>
      <c r="J23" t="s">
        <v>477</v>
      </c>
      <c r="Q23" t="s">
        <v>459</v>
      </c>
      <c r="R23" t="s">
        <v>459</v>
      </c>
      <c r="S23" t="s">
        <v>571</v>
      </c>
    </row>
    <row r="24" spans="1:19" x14ac:dyDescent="0.2">
      <c r="A24" t="s">
        <v>474</v>
      </c>
      <c r="B24" t="s">
        <v>92</v>
      </c>
      <c r="C24" t="s">
        <v>572</v>
      </c>
      <c r="D24" t="s">
        <v>538</v>
      </c>
      <c r="E24" t="s">
        <v>539</v>
      </c>
      <c r="F24" t="s">
        <v>477</v>
      </c>
      <c r="G24" t="s">
        <v>477</v>
      </c>
      <c r="H24" t="s">
        <v>477</v>
      </c>
      <c r="I24" t="s">
        <v>477</v>
      </c>
      <c r="J24" t="s">
        <v>477</v>
      </c>
      <c r="Q24" t="s">
        <v>459</v>
      </c>
      <c r="R24" t="s">
        <v>459</v>
      </c>
      <c r="S24" t="s">
        <v>573</v>
      </c>
    </row>
    <row r="25" spans="1:19" x14ac:dyDescent="0.2">
      <c r="A25" t="s">
        <v>474</v>
      </c>
      <c r="B25" t="s">
        <v>93</v>
      </c>
      <c r="C25" t="s">
        <v>574</v>
      </c>
      <c r="D25" t="s">
        <v>538</v>
      </c>
      <c r="E25" t="s">
        <v>539</v>
      </c>
      <c r="F25" t="s">
        <v>477</v>
      </c>
      <c r="G25" t="s">
        <v>477</v>
      </c>
      <c r="H25" t="s">
        <v>477</v>
      </c>
      <c r="I25" t="s">
        <v>477</v>
      </c>
      <c r="J25" t="s">
        <v>477</v>
      </c>
      <c r="Q25" t="s">
        <v>459</v>
      </c>
      <c r="R25" t="s">
        <v>459</v>
      </c>
      <c r="S25" t="s">
        <v>575</v>
      </c>
    </row>
    <row r="26" spans="1:19" x14ac:dyDescent="0.2">
      <c r="A26" t="s">
        <v>474</v>
      </c>
      <c r="B26" t="s">
        <v>94</v>
      </c>
      <c r="C26" t="s">
        <v>576</v>
      </c>
      <c r="D26" t="s">
        <v>538</v>
      </c>
      <c r="E26" t="s">
        <v>539</v>
      </c>
      <c r="F26" t="s">
        <v>477</v>
      </c>
      <c r="G26" t="s">
        <v>477</v>
      </c>
      <c r="H26" t="s">
        <v>477</v>
      </c>
      <c r="I26" t="s">
        <v>477</v>
      </c>
      <c r="J26" t="s">
        <v>477</v>
      </c>
      <c r="Q26" t="s">
        <v>459</v>
      </c>
      <c r="R26" t="s">
        <v>459</v>
      </c>
      <c r="S26" t="s">
        <v>577</v>
      </c>
    </row>
    <row r="27" spans="1:19" x14ac:dyDescent="0.2">
      <c r="A27" t="s">
        <v>474</v>
      </c>
      <c r="B27" t="s">
        <v>95</v>
      </c>
      <c r="C27" t="s">
        <v>578</v>
      </c>
      <c r="D27" t="s">
        <v>552</v>
      </c>
      <c r="E27" t="s">
        <v>536</v>
      </c>
      <c r="F27" t="s">
        <v>477</v>
      </c>
      <c r="G27" t="s">
        <v>477</v>
      </c>
      <c r="H27" t="s">
        <v>477</v>
      </c>
      <c r="I27" t="s">
        <v>477</v>
      </c>
      <c r="J27" t="s">
        <v>477</v>
      </c>
      <c r="Q27" t="s">
        <v>459</v>
      </c>
      <c r="R27" t="s">
        <v>459</v>
      </c>
      <c r="S27" t="s">
        <v>579</v>
      </c>
    </row>
    <row r="28" spans="1:19" x14ac:dyDescent="0.2">
      <c r="A28" t="s">
        <v>474</v>
      </c>
      <c r="B28" t="s">
        <v>96</v>
      </c>
      <c r="C28" t="s">
        <v>580</v>
      </c>
      <c r="D28" t="s">
        <v>538</v>
      </c>
      <c r="E28" t="s">
        <v>539</v>
      </c>
      <c r="F28" t="s">
        <v>477</v>
      </c>
      <c r="G28" t="s">
        <v>477</v>
      </c>
      <c r="H28" t="s">
        <v>477</v>
      </c>
      <c r="I28" t="s">
        <v>477</v>
      </c>
      <c r="J28" t="s">
        <v>477</v>
      </c>
      <c r="Q28" t="s">
        <v>459</v>
      </c>
      <c r="R28" t="s">
        <v>459</v>
      </c>
      <c r="S28" t="s">
        <v>581</v>
      </c>
    </row>
    <row r="29" spans="1:19" x14ac:dyDescent="0.2">
      <c r="A29" t="s">
        <v>474</v>
      </c>
      <c r="B29" t="s">
        <v>97</v>
      </c>
      <c r="C29" t="s">
        <v>582</v>
      </c>
      <c r="D29" t="s">
        <v>538</v>
      </c>
      <c r="E29" t="s">
        <v>539</v>
      </c>
      <c r="F29" t="s">
        <v>477</v>
      </c>
      <c r="G29" t="s">
        <v>477</v>
      </c>
      <c r="H29" t="s">
        <v>477</v>
      </c>
      <c r="I29" t="s">
        <v>477</v>
      </c>
      <c r="J29" t="s">
        <v>477</v>
      </c>
      <c r="Q29" t="s">
        <v>459</v>
      </c>
      <c r="R29" t="s">
        <v>459</v>
      </c>
      <c r="S29" t="s">
        <v>583</v>
      </c>
    </row>
    <row r="30" spans="1:19" x14ac:dyDescent="0.2">
      <c r="A30" t="s">
        <v>474</v>
      </c>
      <c r="B30" t="s">
        <v>98</v>
      </c>
      <c r="C30" t="s">
        <v>584</v>
      </c>
      <c r="D30" t="s">
        <v>538</v>
      </c>
      <c r="E30" t="s">
        <v>539</v>
      </c>
      <c r="F30" t="s">
        <v>477</v>
      </c>
      <c r="G30" t="s">
        <v>477</v>
      </c>
      <c r="H30" t="s">
        <v>477</v>
      </c>
      <c r="I30" t="s">
        <v>477</v>
      </c>
      <c r="J30" t="s">
        <v>477</v>
      </c>
      <c r="Q30" t="s">
        <v>459</v>
      </c>
      <c r="R30" t="s">
        <v>459</v>
      </c>
      <c r="S30" t="s">
        <v>585</v>
      </c>
    </row>
    <row r="31" spans="1:19" x14ac:dyDescent="0.2">
      <c r="A31" t="s">
        <v>474</v>
      </c>
      <c r="B31" t="s">
        <v>99</v>
      </c>
      <c r="C31" t="s">
        <v>586</v>
      </c>
      <c r="D31" t="s">
        <v>552</v>
      </c>
      <c r="E31" t="s">
        <v>536</v>
      </c>
      <c r="F31" t="s">
        <v>477</v>
      </c>
      <c r="G31" t="s">
        <v>477</v>
      </c>
      <c r="H31" t="s">
        <v>477</v>
      </c>
      <c r="I31" t="s">
        <v>477</v>
      </c>
      <c r="J31" t="s">
        <v>477</v>
      </c>
      <c r="Q31" t="s">
        <v>459</v>
      </c>
      <c r="R31" t="s">
        <v>459</v>
      </c>
      <c r="S31" t="s">
        <v>587</v>
      </c>
    </row>
    <row r="32" spans="1:19" x14ac:dyDescent="0.2">
      <c r="A32" t="s">
        <v>474</v>
      </c>
      <c r="B32" t="s">
        <v>100</v>
      </c>
      <c r="C32" t="s">
        <v>588</v>
      </c>
      <c r="D32" t="s">
        <v>538</v>
      </c>
      <c r="E32" t="s">
        <v>539</v>
      </c>
      <c r="F32" t="s">
        <v>477</v>
      </c>
      <c r="G32" t="s">
        <v>477</v>
      </c>
      <c r="H32" t="s">
        <v>477</v>
      </c>
      <c r="I32" t="s">
        <v>477</v>
      </c>
      <c r="J32" t="s">
        <v>477</v>
      </c>
      <c r="Q32" t="s">
        <v>459</v>
      </c>
      <c r="R32" t="s">
        <v>459</v>
      </c>
      <c r="S32" t="s">
        <v>589</v>
      </c>
    </row>
    <row r="33" spans="1:19" x14ac:dyDescent="0.2">
      <c r="A33" t="s">
        <v>474</v>
      </c>
      <c r="B33" t="s">
        <v>101</v>
      </c>
      <c r="C33" t="s">
        <v>590</v>
      </c>
      <c r="D33" t="s">
        <v>538</v>
      </c>
      <c r="E33" t="s">
        <v>539</v>
      </c>
      <c r="F33" t="s">
        <v>477</v>
      </c>
      <c r="G33" t="s">
        <v>477</v>
      </c>
      <c r="H33" t="s">
        <v>477</v>
      </c>
      <c r="I33" t="s">
        <v>477</v>
      </c>
      <c r="J33" t="s">
        <v>477</v>
      </c>
      <c r="Q33" t="s">
        <v>459</v>
      </c>
      <c r="R33" t="s">
        <v>459</v>
      </c>
      <c r="S33" t="s">
        <v>591</v>
      </c>
    </row>
    <row r="34" spans="1:19" x14ac:dyDescent="0.2">
      <c r="A34" t="s">
        <v>474</v>
      </c>
      <c r="B34" t="s">
        <v>102</v>
      </c>
      <c r="C34" t="s">
        <v>592</v>
      </c>
      <c r="D34" t="s">
        <v>593</v>
      </c>
      <c r="E34" t="s">
        <v>539</v>
      </c>
      <c r="F34" t="s">
        <v>477</v>
      </c>
      <c r="G34" t="s">
        <v>477</v>
      </c>
      <c r="H34" t="s">
        <v>477</v>
      </c>
      <c r="I34" t="s">
        <v>477</v>
      </c>
      <c r="J34" t="s">
        <v>477</v>
      </c>
      <c r="Q34" t="s">
        <v>459</v>
      </c>
      <c r="R34" t="s">
        <v>459</v>
      </c>
      <c r="S34" t="s">
        <v>594</v>
      </c>
    </row>
    <row r="35" spans="1:19" x14ac:dyDescent="0.2">
      <c r="A35" t="s">
        <v>474</v>
      </c>
      <c r="B35" t="s">
        <v>103</v>
      </c>
      <c r="C35" t="s">
        <v>595</v>
      </c>
      <c r="D35" t="s">
        <v>538</v>
      </c>
      <c r="E35" t="s">
        <v>539</v>
      </c>
      <c r="F35" t="s">
        <v>477</v>
      </c>
      <c r="G35" t="s">
        <v>477</v>
      </c>
      <c r="H35" t="s">
        <v>459</v>
      </c>
      <c r="I35" t="s">
        <v>477</v>
      </c>
      <c r="J35" t="s">
        <v>477</v>
      </c>
      <c r="N35" t="s">
        <v>596</v>
      </c>
      <c r="Q35" t="s">
        <v>459</v>
      </c>
      <c r="R35" t="s">
        <v>459</v>
      </c>
      <c r="S35" t="s">
        <v>597</v>
      </c>
    </row>
    <row r="36" spans="1:19" x14ac:dyDescent="0.2">
      <c r="A36" t="s">
        <v>474</v>
      </c>
      <c r="B36" t="s">
        <v>104</v>
      </c>
      <c r="C36" t="s">
        <v>598</v>
      </c>
      <c r="D36" t="s">
        <v>538</v>
      </c>
      <c r="E36" t="s">
        <v>599</v>
      </c>
      <c r="F36" t="s">
        <v>477</v>
      </c>
      <c r="G36" t="s">
        <v>477</v>
      </c>
      <c r="H36" t="s">
        <v>477</v>
      </c>
      <c r="I36" t="s">
        <v>477</v>
      </c>
      <c r="J36" t="s">
        <v>477</v>
      </c>
      <c r="Q36" t="s">
        <v>459</v>
      </c>
      <c r="R36" t="s">
        <v>459</v>
      </c>
      <c r="S36" t="s">
        <v>600</v>
      </c>
    </row>
    <row r="37" spans="1:19" x14ac:dyDescent="0.2">
      <c r="A37" t="s">
        <v>474</v>
      </c>
      <c r="B37" t="s">
        <v>105</v>
      </c>
      <c r="C37" t="s">
        <v>601</v>
      </c>
      <c r="D37" t="s">
        <v>602</v>
      </c>
      <c r="E37" t="s">
        <v>539</v>
      </c>
      <c r="F37" t="s">
        <v>477</v>
      </c>
      <c r="G37" t="s">
        <v>477</v>
      </c>
      <c r="H37" t="s">
        <v>459</v>
      </c>
      <c r="I37" t="s">
        <v>477</v>
      </c>
      <c r="J37" t="s">
        <v>477</v>
      </c>
      <c r="N37" t="s">
        <v>603</v>
      </c>
      <c r="Q37" t="s">
        <v>477</v>
      </c>
      <c r="R37" t="s">
        <v>477</v>
      </c>
      <c r="S37" t="s">
        <v>604</v>
      </c>
    </row>
    <row r="38" spans="1:19" x14ac:dyDescent="0.2">
      <c r="A38" t="s">
        <v>478</v>
      </c>
      <c r="B38" t="s">
        <v>70</v>
      </c>
      <c r="C38" t="s">
        <v>476</v>
      </c>
      <c r="D38" t="s">
        <v>535</v>
      </c>
      <c r="E38" t="s">
        <v>536</v>
      </c>
      <c r="F38" t="s">
        <v>459</v>
      </c>
      <c r="G38" t="s">
        <v>477</v>
      </c>
      <c r="H38" t="s">
        <v>477</v>
      </c>
      <c r="I38" t="s">
        <v>477</v>
      </c>
      <c r="J38" t="s">
        <v>477</v>
      </c>
      <c r="Q38" t="s">
        <v>459</v>
      </c>
      <c r="R38" t="s">
        <v>459</v>
      </c>
      <c r="S38" t="s">
        <v>477</v>
      </c>
    </row>
    <row r="39" spans="1:19" x14ac:dyDescent="0.2">
      <c r="A39" t="s">
        <v>478</v>
      </c>
      <c r="B39" t="s">
        <v>164</v>
      </c>
      <c r="C39" t="s">
        <v>605</v>
      </c>
      <c r="D39" t="s">
        <v>535</v>
      </c>
      <c r="E39" t="s">
        <v>536</v>
      </c>
      <c r="F39" t="s">
        <v>477</v>
      </c>
      <c r="G39" t="s">
        <v>477</v>
      </c>
      <c r="H39" t="s">
        <v>459</v>
      </c>
      <c r="I39" t="s">
        <v>477</v>
      </c>
      <c r="J39" t="s">
        <v>477</v>
      </c>
      <c r="N39" t="s">
        <v>477</v>
      </c>
      <c r="Q39" t="s">
        <v>459</v>
      </c>
      <c r="R39" t="s">
        <v>459</v>
      </c>
      <c r="S39" t="s">
        <v>477</v>
      </c>
    </row>
    <row r="40" spans="1:19" x14ac:dyDescent="0.2">
      <c r="A40" t="s">
        <v>478</v>
      </c>
      <c r="B40" t="s">
        <v>165</v>
      </c>
      <c r="C40" t="s">
        <v>606</v>
      </c>
      <c r="D40" t="s">
        <v>535</v>
      </c>
      <c r="E40" t="s">
        <v>536</v>
      </c>
      <c r="F40" t="s">
        <v>477</v>
      </c>
      <c r="G40" t="s">
        <v>459</v>
      </c>
      <c r="H40" t="s">
        <v>459</v>
      </c>
      <c r="I40" t="s">
        <v>477</v>
      </c>
      <c r="J40" t="s">
        <v>477</v>
      </c>
      <c r="K40" t="s">
        <v>474</v>
      </c>
      <c r="L40" t="s">
        <v>476</v>
      </c>
      <c r="M40" t="s">
        <v>543</v>
      </c>
      <c r="Q40" t="s">
        <v>459</v>
      </c>
      <c r="R40" t="s">
        <v>459</v>
      </c>
      <c r="S40" t="s">
        <v>477</v>
      </c>
    </row>
    <row r="41" spans="1:19" x14ac:dyDescent="0.2">
      <c r="A41" t="s">
        <v>478</v>
      </c>
      <c r="B41" t="s">
        <v>166</v>
      </c>
      <c r="D41" t="s">
        <v>538</v>
      </c>
      <c r="F41" t="s">
        <v>477</v>
      </c>
      <c r="G41" t="s">
        <v>477</v>
      </c>
      <c r="H41" t="s">
        <v>477</v>
      </c>
      <c r="I41" t="s">
        <v>477</v>
      </c>
      <c r="J41" t="s">
        <v>459</v>
      </c>
      <c r="Q41" t="s">
        <v>459</v>
      </c>
      <c r="R41" t="s">
        <v>459</v>
      </c>
      <c r="S41" t="s">
        <v>477</v>
      </c>
    </row>
    <row r="42" spans="1:19" x14ac:dyDescent="0.2">
      <c r="A42" t="s">
        <v>478</v>
      </c>
      <c r="B42" t="s">
        <v>167</v>
      </c>
      <c r="C42" t="s">
        <v>607</v>
      </c>
      <c r="D42" t="s">
        <v>535</v>
      </c>
      <c r="E42" t="s">
        <v>536</v>
      </c>
      <c r="F42" t="s">
        <v>477</v>
      </c>
      <c r="G42" t="s">
        <v>459</v>
      </c>
      <c r="H42" t="s">
        <v>459</v>
      </c>
      <c r="I42" t="s">
        <v>477</v>
      </c>
      <c r="J42" t="s">
        <v>477</v>
      </c>
      <c r="K42" t="s">
        <v>507</v>
      </c>
      <c r="L42" t="s">
        <v>476</v>
      </c>
      <c r="M42" t="s">
        <v>543</v>
      </c>
      <c r="Q42" t="s">
        <v>459</v>
      </c>
      <c r="R42" t="s">
        <v>459</v>
      </c>
      <c r="S42" t="s">
        <v>477</v>
      </c>
    </row>
    <row r="43" spans="1:19" x14ac:dyDescent="0.2">
      <c r="A43" t="s">
        <v>478</v>
      </c>
      <c r="B43" t="s">
        <v>168</v>
      </c>
      <c r="D43" t="s">
        <v>538</v>
      </c>
      <c r="F43" t="s">
        <v>477</v>
      </c>
      <c r="G43" t="s">
        <v>477</v>
      </c>
      <c r="H43" t="s">
        <v>477</v>
      </c>
      <c r="I43" t="s">
        <v>477</v>
      </c>
      <c r="J43" t="s">
        <v>459</v>
      </c>
      <c r="Q43" t="s">
        <v>459</v>
      </c>
      <c r="R43" t="s">
        <v>459</v>
      </c>
      <c r="S43" t="s">
        <v>477</v>
      </c>
    </row>
    <row r="44" spans="1:19" x14ac:dyDescent="0.2">
      <c r="A44" t="s">
        <v>478</v>
      </c>
      <c r="B44" t="s">
        <v>169</v>
      </c>
      <c r="C44" t="s">
        <v>608</v>
      </c>
      <c r="D44" t="s">
        <v>602</v>
      </c>
      <c r="E44" t="s">
        <v>539</v>
      </c>
      <c r="F44" t="s">
        <v>477</v>
      </c>
      <c r="G44" t="s">
        <v>477</v>
      </c>
      <c r="H44" t="s">
        <v>459</v>
      </c>
      <c r="I44" t="s">
        <v>477</v>
      </c>
      <c r="J44" t="s">
        <v>477</v>
      </c>
      <c r="N44" t="s">
        <v>603</v>
      </c>
      <c r="Q44" t="s">
        <v>459</v>
      </c>
      <c r="R44" t="s">
        <v>459</v>
      </c>
      <c r="S44" t="s">
        <v>477</v>
      </c>
    </row>
    <row r="45" spans="1:19" x14ac:dyDescent="0.2">
      <c r="A45" t="s">
        <v>480</v>
      </c>
      <c r="B45" t="s">
        <v>70</v>
      </c>
      <c r="C45" t="s">
        <v>476</v>
      </c>
      <c r="D45" t="s">
        <v>535</v>
      </c>
      <c r="E45" t="s">
        <v>536</v>
      </c>
      <c r="F45" t="s">
        <v>459</v>
      </c>
      <c r="G45" t="s">
        <v>477</v>
      </c>
      <c r="H45" t="s">
        <v>477</v>
      </c>
      <c r="I45" t="s">
        <v>477</v>
      </c>
      <c r="J45" t="s">
        <v>477</v>
      </c>
      <c r="Q45" t="s">
        <v>459</v>
      </c>
      <c r="R45" t="s">
        <v>459</v>
      </c>
      <c r="S45" t="s">
        <v>477</v>
      </c>
    </row>
    <row r="46" spans="1:19" x14ac:dyDescent="0.2">
      <c r="A46" t="s">
        <v>480</v>
      </c>
      <c r="B46" t="s">
        <v>164</v>
      </c>
      <c r="C46" t="s">
        <v>605</v>
      </c>
      <c r="D46" t="s">
        <v>552</v>
      </c>
      <c r="E46" t="s">
        <v>536</v>
      </c>
      <c r="F46" t="s">
        <v>477</v>
      </c>
      <c r="G46" t="s">
        <v>477</v>
      </c>
      <c r="H46" t="s">
        <v>459</v>
      </c>
      <c r="I46" t="s">
        <v>477</v>
      </c>
      <c r="J46" t="s">
        <v>477</v>
      </c>
      <c r="Q46" t="s">
        <v>459</v>
      </c>
      <c r="R46" t="s">
        <v>459</v>
      </c>
      <c r="S46" t="s">
        <v>477</v>
      </c>
    </row>
    <row r="47" spans="1:19" x14ac:dyDescent="0.2">
      <c r="A47" t="s">
        <v>480</v>
      </c>
      <c r="B47" t="s">
        <v>170</v>
      </c>
      <c r="C47" t="s">
        <v>609</v>
      </c>
      <c r="D47" t="s">
        <v>552</v>
      </c>
      <c r="E47" t="s">
        <v>536</v>
      </c>
      <c r="F47" t="s">
        <v>477</v>
      </c>
      <c r="G47" t="s">
        <v>477</v>
      </c>
      <c r="H47" t="s">
        <v>477</v>
      </c>
      <c r="I47" t="s">
        <v>477</v>
      </c>
      <c r="J47" t="s">
        <v>477</v>
      </c>
      <c r="Q47" t="s">
        <v>459</v>
      </c>
      <c r="R47" t="s">
        <v>459</v>
      </c>
      <c r="S47" t="s">
        <v>477</v>
      </c>
    </row>
    <row r="48" spans="1:19" x14ac:dyDescent="0.2">
      <c r="A48" t="s">
        <v>480</v>
      </c>
      <c r="B48" t="s">
        <v>171</v>
      </c>
      <c r="C48" t="s">
        <v>610</v>
      </c>
      <c r="D48" t="s">
        <v>602</v>
      </c>
      <c r="E48" t="s">
        <v>539</v>
      </c>
      <c r="F48" t="s">
        <v>477</v>
      </c>
      <c r="G48" t="s">
        <v>477</v>
      </c>
      <c r="H48" t="s">
        <v>459</v>
      </c>
      <c r="I48" t="s">
        <v>477</v>
      </c>
      <c r="J48" t="s">
        <v>477</v>
      </c>
      <c r="N48" t="s">
        <v>603</v>
      </c>
      <c r="Q48" t="s">
        <v>459</v>
      </c>
      <c r="R48" t="s">
        <v>459</v>
      </c>
      <c r="S48" t="s">
        <v>477</v>
      </c>
    </row>
    <row r="49" spans="1:19" x14ac:dyDescent="0.2">
      <c r="A49" t="s">
        <v>480</v>
      </c>
      <c r="B49" t="s">
        <v>94</v>
      </c>
      <c r="C49" t="s">
        <v>576</v>
      </c>
      <c r="D49" t="s">
        <v>538</v>
      </c>
      <c r="E49" t="s">
        <v>539</v>
      </c>
      <c r="F49" t="s">
        <v>477</v>
      </c>
      <c r="G49" t="s">
        <v>477</v>
      </c>
      <c r="H49" t="s">
        <v>477</v>
      </c>
      <c r="I49" t="s">
        <v>477</v>
      </c>
      <c r="J49" t="s">
        <v>477</v>
      </c>
      <c r="Q49" t="s">
        <v>459</v>
      </c>
      <c r="R49" t="s">
        <v>459</v>
      </c>
      <c r="S49" t="s">
        <v>477</v>
      </c>
    </row>
    <row r="50" spans="1:19" x14ac:dyDescent="0.2">
      <c r="A50" t="s">
        <v>480</v>
      </c>
      <c r="B50" t="s">
        <v>172</v>
      </c>
      <c r="C50" t="s">
        <v>611</v>
      </c>
      <c r="D50" t="s">
        <v>602</v>
      </c>
      <c r="E50" t="s">
        <v>539</v>
      </c>
      <c r="F50" t="s">
        <v>477</v>
      </c>
      <c r="G50" t="s">
        <v>477</v>
      </c>
      <c r="H50" t="s">
        <v>459</v>
      </c>
      <c r="I50" t="s">
        <v>477</v>
      </c>
      <c r="J50" t="s">
        <v>477</v>
      </c>
      <c r="Q50" t="s">
        <v>459</v>
      </c>
      <c r="R50" t="s">
        <v>459</v>
      </c>
      <c r="S50" t="s">
        <v>477</v>
      </c>
    </row>
    <row r="51" spans="1:19" x14ac:dyDescent="0.2">
      <c r="A51" t="s">
        <v>480</v>
      </c>
      <c r="B51" t="s">
        <v>101</v>
      </c>
      <c r="C51" t="s">
        <v>590</v>
      </c>
      <c r="D51" t="s">
        <v>538</v>
      </c>
      <c r="E51" t="s">
        <v>539</v>
      </c>
      <c r="F51" t="s">
        <v>477</v>
      </c>
      <c r="G51" t="s">
        <v>477</v>
      </c>
      <c r="H51" t="s">
        <v>477</v>
      </c>
      <c r="I51" t="s">
        <v>477</v>
      </c>
      <c r="J51" t="s">
        <v>477</v>
      </c>
      <c r="Q51" t="s">
        <v>459</v>
      </c>
      <c r="R51" t="s">
        <v>459</v>
      </c>
      <c r="S51" t="s">
        <v>477</v>
      </c>
    </row>
    <row r="52" spans="1:19" x14ac:dyDescent="0.2">
      <c r="A52" t="s">
        <v>480</v>
      </c>
      <c r="B52" t="s">
        <v>104</v>
      </c>
      <c r="C52" t="s">
        <v>598</v>
      </c>
      <c r="D52" t="s">
        <v>538</v>
      </c>
      <c r="E52" t="s">
        <v>539</v>
      </c>
      <c r="F52" t="s">
        <v>477</v>
      </c>
      <c r="G52" t="s">
        <v>477</v>
      </c>
      <c r="H52" t="s">
        <v>477</v>
      </c>
      <c r="I52" t="s">
        <v>477</v>
      </c>
      <c r="J52" t="s">
        <v>477</v>
      </c>
      <c r="Q52" t="s">
        <v>459</v>
      </c>
      <c r="R52" t="s">
        <v>459</v>
      </c>
      <c r="S52" t="s">
        <v>477</v>
      </c>
    </row>
    <row r="53" spans="1:19" x14ac:dyDescent="0.2">
      <c r="A53" t="s">
        <v>480</v>
      </c>
      <c r="B53" t="s">
        <v>165</v>
      </c>
      <c r="C53" t="s">
        <v>606</v>
      </c>
      <c r="D53" t="s">
        <v>535</v>
      </c>
      <c r="E53" t="s">
        <v>536</v>
      </c>
      <c r="F53" t="s">
        <v>477</v>
      </c>
      <c r="G53" t="s">
        <v>459</v>
      </c>
      <c r="H53" t="s">
        <v>459</v>
      </c>
      <c r="I53" t="s">
        <v>477</v>
      </c>
      <c r="J53" t="s">
        <v>477</v>
      </c>
      <c r="K53" t="s">
        <v>474</v>
      </c>
      <c r="L53" t="s">
        <v>476</v>
      </c>
      <c r="M53" t="s">
        <v>543</v>
      </c>
      <c r="Q53" t="s">
        <v>459</v>
      </c>
      <c r="R53" t="s">
        <v>459</v>
      </c>
      <c r="S53" t="s">
        <v>477</v>
      </c>
    </row>
    <row r="54" spans="1:19" x14ac:dyDescent="0.2">
      <c r="A54" t="s">
        <v>480</v>
      </c>
      <c r="B54" t="s">
        <v>166</v>
      </c>
      <c r="D54" t="s">
        <v>538</v>
      </c>
      <c r="F54" t="s">
        <v>477</v>
      </c>
      <c r="G54" t="s">
        <v>477</v>
      </c>
      <c r="H54" t="s">
        <v>477</v>
      </c>
      <c r="I54" t="s">
        <v>477</v>
      </c>
      <c r="J54" t="s">
        <v>459</v>
      </c>
      <c r="Q54" t="s">
        <v>459</v>
      </c>
      <c r="R54" t="s">
        <v>459</v>
      </c>
      <c r="S54" t="s">
        <v>477</v>
      </c>
    </row>
    <row r="55" spans="1:19" x14ac:dyDescent="0.2">
      <c r="A55" t="s">
        <v>480</v>
      </c>
      <c r="B55" t="s">
        <v>173</v>
      </c>
      <c r="C55" t="s">
        <v>612</v>
      </c>
      <c r="D55" t="s">
        <v>538</v>
      </c>
      <c r="E55" t="s">
        <v>539</v>
      </c>
      <c r="F55" t="s">
        <v>477</v>
      </c>
      <c r="G55" t="s">
        <v>477</v>
      </c>
      <c r="H55" t="s">
        <v>477</v>
      </c>
      <c r="I55" t="s">
        <v>477</v>
      </c>
      <c r="J55" t="s">
        <v>477</v>
      </c>
      <c r="Q55" t="s">
        <v>459</v>
      </c>
      <c r="R55" t="s">
        <v>459</v>
      </c>
      <c r="S55" t="s">
        <v>477</v>
      </c>
    </row>
    <row r="56" spans="1:19" x14ac:dyDescent="0.2">
      <c r="A56" t="s">
        <v>480</v>
      </c>
      <c r="B56" t="s">
        <v>174</v>
      </c>
      <c r="C56" t="s">
        <v>613</v>
      </c>
      <c r="D56" t="s">
        <v>538</v>
      </c>
      <c r="E56" t="s">
        <v>539</v>
      </c>
      <c r="F56" t="s">
        <v>477</v>
      </c>
      <c r="G56" t="s">
        <v>477</v>
      </c>
      <c r="H56" t="s">
        <v>459</v>
      </c>
      <c r="I56" t="s">
        <v>477</v>
      </c>
      <c r="J56" t="s">
        <v>477</v>
      </c>
      <c r="Q56" t="s">
        <v>459</v>
      </c>
      <c r="R56" t="s">
        <v>459</v>
      </c>
      <c r="S56" t="s">
        <v>477</v>
      </c>
    </row>
    <row r="57" spans="1:19" x14ac:dyDescent="0.2">
      <c r="A57" t="s">
        <v>480</v>
      </c>
      <c r="B57" t="s">
        <v>175</v>
      </c>
      <c r="C57" t="s">
        <v>614</v>
      </c>
      <c r="D57" t="s">
        <v>535</v>
      </c>
      <c r="E57" t="s">
        <v>536</v>
      </c>
      <c r="F57" t="s">
        <v>477</v>
      </c>
      <c r="G57" t="s">
        <v>459</v>
      </c>
      <c r="H57" t="s">
        <v>477</v>
      </c>
      <c r="I57" t="s">
        <v>477</v>
      </c>
      <c r="J57" t="s">
        <v>477</v>
      </c>
      <c r="K57" t="s">
        <v>507</v>
      </c>
      <c r="L57" t="s">
        <v>476</v>
      </c>
      <c r="M57" t="s">
        <v>543</v>
      </c>
      <c r="Q57" t="s">
        <v>459</v>
      </c>
      <c r="R57" t="s">
        <v>459</v>
      </c>
      <c r="S57" t="s">
        <v>477</v>
      </c>
    </row>
    <row r="58" spans="1:19" x14ac:dyDescent="0.2">
      <c r="A58" t="s">
        <v>480</v>
      </c>
      <c r="B58" t="s">
        <v>176</v>
      </c>
      <c r="D58" t="s">
        <v>538</v>
      </c>
      <c r="F58" t="s">
        <v>477</v>
      </c>
      <c r="G58" t="s">
        <v>477</v>
      </c>
      <c r="H58" t="s">
        <v>477</v>
      </c>
      <c r="I58" t="s">
        <v>477</v>
      </c>
      <c r="J58" t="s">
        <v>459</v>
      </c>
      <c r="Q58" t="s">
        <v>459</v>
      </c>
      <c r="R58" t="s">
        <v>459</v>
      </c>
      <c r="S58" t="s">
        <v>477</v>
      </c>
    </row>
    <row r="59" spans="1:19" x14ac:dyDescent="0.2">
      <c r="A59" t="s">
        <v>480</v>
      </c>
      <c r="B59" t="s">
        <v>167</v>
      </c>
      <c r="C59" t="s">
        <v>607</v>
      </c>
      <c r="D59" t="s">
        <v>535</v>
      </c>
      <c r="E59" t="s">
        <v>536</v>
      </c>
      <c r="F59" t="s">
        <v>477</v>
      </c>
      <c r="G59" t="s">
        <v>459</v>
      </c>
      <c r="H59" t="s">
        <v>459</v>
      </c>
      <c r="I59" t="s">
        <v>477</v>
      </c>
      <c r="J59" t="s">
        <v>477</v>
      </c>
      <c r="K59" t="s">
        <v>507</v>
      </c>
      <c r="L59" t="s">
        <v>476</v>
      </c>
      <c r="M59" t="s">
        <v>543</v>
      </c>
      <c r="Q59" t="s">
        <v>459</v>
      </c>
      <c r="R59" t="s">
        <v>459</v>
      </c>
      <c r="S59" t="s">
        <v>477</v>
      </c>
    </row>
    <row r="60" spans="1:19" x14ac:dyDescent="0.2">
      <c r="A60" t="s">
        <v>480</v>
      </c>
      <c r="B60" t="s">
        <v>168</v>
      </c>
      <c r="D60" t="s">
        <v>538</v>
      </c>
      <c r="F60" t="s">
        <v>477</v>
      </c>
      <c r="G60" t="s">
        <v>477</v>
      </c>
      <c r="H60" t="s">
        <v>477</v>
      </c>
      <c r="I60" t="s">
        <v>477</v>
      </c>
      <c r="J60" t="s">
        <v>459</v>
      </c>
      <c r="Q60" t="s">
        <v>459</v>
      </c>
      <c r="R60" t="s">
        <v>459</v>
      </c>
      <c r="S60" t="s">
        <v>477</v>
      </c>
    </row>
    <row r="61" spans="1:19" x14ac:dyDescent="0.2">
      <c r="A61" t="s">
        <v>480</v>
      </c>
      <c r="B61" t="s">
        <v>177</v>
      </c>
      <c r="C61" t="s">
        <v>615</v>
      </c>
      <c r="D61" t="s">
        <v>538</v>
      </c>
      <c r="E61" t="s">
        <v>539</v>
      </c>
      <c r="F61" t="s">
        <v>477</v>
      </c>
      <c r="G61" t="s">
        <v>477</v>
      </c>
      <c r="H61" t="s">
        <v>477</v>
      </c>
      <c r="I61" t="s">
        <v>477</v>
      </c>
      <c r="J61" t="s">
        <v>477</v>
      </c>
      <c r="Q61" t="s">
        <v>459</v>
      </c>
      <c r="R61" t="s">
        <v>459</v>
      </c>
      <c r="S61" t="s">
        <v>477</v>
      </c>
    </row>
    <row r="62" spans="1:19" x14ac:dyDescent="0.2">
      <c r="A62" t="s">
        <v>483</v>
      </c>
      <c r="B62" t="s">
        <v>70</v>
      </c>
      <c r="C62" t="s">
        <v>476</v>
      </c>
      <c r="D62" t="s">
        <v>535</v>
      </c>
      <c r="E62" t="s">
        <v>536</v>
      </c>
      <c r="F62" t="s">
        <v>459</v>
      </c>
      <c r="G62" t="s">
        <v>477</v>
      </c>
      <c r="H62" t="s">
        <v>477</v>
      </c>
      <c r="I62" t="s">
        <v>477</v>
      </c>
      <c r="J62" t="s">
        <v>477</v>
      </c>
      <c r="Q62" t="s">
        <v>459</v>
      </c>
      <c r="R62" t="s">
        <v>459</v>
      </c>
      <c r="S62" t="s">
        <v>477</v>
      </c>
    </row>
    <row r="63" spans="1:19" x14ac:dyDescent="0.2">
      <c r="A63" t="s">
        <v>483</v>
      </c>
      <c r="B63" t="s">
        <v>201</v>
      </c>
      <c r="C63" t="s">
        <v>616</v>
      </c>
      <c r="D63" t="s">
        <v>535</v>
      </c>
      <c r="E63" t="s">
        <v>536</v>
      </c>
      <c r="F63" t="s">
        <v>477</v>
      </c>
      <c r="G63" t="s">
        <v>459</v>
      </c>
      <c r="H63" t="s">
        <v>459</v>
      </c>
      <c r="I63" t="s">
        <v>477</v>
      </c>
      <c r="J63" t="s">
        <v>477</v>
      </c>
      <c r="K63" t="s">
        <v>498</v>
      </c>
      <c r="L63" t="s">
        <v>476</v>
      </c>
      <c r="M63" t="s">
        <v>617</v>
      </c>
      <c r="Q63" t="s">
        <v>459</v>
      </c>
      <c r="R63" t="s">
        <v>459</v>
      </c>
      <c r="S63" t="s">
        <v>477</v>
      </c>
    </row>
    <row r="64" spans="1:19" x14ac:dyDescent="0.2">
      <c r="A64" t="s">
        <v>483</v>
      </c>
      <c r="B64" t="s">
        <v>202</v>
      </c>
      <c r="D64" t="s">
        <v>538</v>
      </c>
      <c r="F64" t="s">
        <v>477</v>
      </c>
      <c r="G64" t="s">
        <v>477</v>
      </c>
      <c r="H64" t="s">
        <v>477</v>
      </c>
      <c r="I64" t="s">
        <v>477</v>
      </c>
      <c r="J64" t="s">
        <v>459</v>
      </c>
      <c r="Q64" t="s">
        <v>459</v>
      </c>
      <c r="R64" t="s">
        <v>459</v>
      </c>
      <c r="S64" t="s">
        <v>477</v>
      </c>
    </row>
    <row r="65" spans="1:19" x14ac:dyDescent="0.2">
      <c r="A65" t="s">
        <v>483</v>
      </c>
      <c r="B65" t="s">
        <v>171</v>
      </c>
      <c r="C65" t="s">
        <v>610</v>
      </c>
      <c r="D65" t="s">
        <v>602</v>
      </c>
      <c r="E65" t="s">
        <v>539</v>
      </c>
      <c r="F65" t="s">
        <v>477</v>
      </c>
      <c r="G65" t="s">
        <v>477</v>
      </c>
      <c r="H65" t="s">
        <v>459</v>
      </c>
      <c r="I65" t="s">
        <v>477</v>
      </c>
      <c r="J65" t="s">
        <v>477</v>
      </c>
      <c r="N65" t="s">
        <v>603</v>
      </c>
      <c r="Q65" t="s">
        <v>459</v>
      </c>
      <c r="R65" t="s">
        <v>459</v>
      </c>
      <c r="S65" t="s">
        <v>477</v>
      </c>
    </row>
    <row r="66" spans="1:19" x14ac:dyDescent="0.2">
      <c r="A66" t="s">
        <v>483</v>
      </c>
      <c r="B66" t="s">
        <v>203</v>
      </c>
      <c r="C66" t="s">
        <v>618</v>
      </c>
      <c r="D66" t="s">
        <v>538</v>
      </c>
      <c r="E66" t="s">
        <v>539</v>
      </c>
      <c r="F66" t="s">
        <v>477</v>
      </c>
      <c r="G66" t="s">
        <v>477</v>
      </c>
      <c r="H66" t="s">
        <v>459</v>
      </c>
      <c r="I66" t="s">
        <v>477</v>
      </c>
      <c r="J66" t="s">
        <v>477</v>
      </c>
      <c r="N66" t="s">
        <v>619</v>
      </c>
      <c r="Q66" t="s">
        <v>459</v>
      </c>
      <c r="R66" t="s">
        <v>459</v>
      </c>
      <c r="S66" t="s">
        <v>477</v>
      </c>
    </row>
    <row r="67" spans="1:19" x14ac:dyDescent="0.2">
      <c r="A67" t="s">
        <v>483</v>
      </c>
      <c r="B67" t="s">
        <v>172</v>
      </c>
      <c r="C67" t="s">
        <v>611</v>
      </c>
      <c r="D67" t="s">
        <v>593</v>
      </c>
      <c r="E67" t="s">
        <v>539</v>
      </c>
      <c r="F67" t="s">
        <v>477</v>
      </c>
      <c r="G67" t="s">
        <v>477</v>
      </c>
      <c r="H67" t="s">
        <v>459</v>
      </c>
      <c r="I67" t="s">
        <v>477</v>
      </c>
      <c r="J67" t="s">
        <v>477</v>
      </c>
      <c r="Q67" t="s">
        <v>459</v>
      </c>
      <c r="R67" t="s">
        <v>459</v>
      </c>
      <c r="S67" t="s">
        <v>477</v>
      </c>
    </row>
    <row r="68" spans="1:19" x14ac:dyDescent="0.2">
      <c r="A68" t="s">
        <v>483</v>
      </c>
      <c r="B68" t="s">
        <v>204</v>
      </c>
      <c r="C68" t="s">
        <v>620</v>
      </c>
      <c r="D68" t="s">
        <v>538</v>
      </c>
      <c r="E68" t="s">
        <v>539</v>
      </c>
      <c r="F68" t="s">
        <v>477</v>
      </c>
      <c r="G68" t="s">
        <v>477</v>
      </c>
      <c r="H68" t="s">
        <v>459</v>
      </c>
      <c r="I68" t="s">
        <v>477</v>
      </c>
      <c r="J68" t="s">
        <v>477</v>
      </c>
      <c r="Q68" t="s">
        <v>459</v>
      </c>
      <c r="R68" t="s">
        <v>459</v>
      </c>
      <c r="S68" t="s">
        <v>477</v>
      </c>
    </row>
    <row r="69" spans="1:19" x14ac:dyDescent="0.2">
      <c r="A69" t="s">
        <v>483</v>
      </c>
      <c r="B69" t="s">
        <v>205</v>
      </c>
      <c r="C69" t="s">
        <v>621</v>
      </c>
      <c r="D69" t="s">
        <v>552</v>
      </c>
      <c r="E69" t="s">
        <v>536</v>
      </c>
      <c r="F69" t="s">
        <v>477</v>
      </c>
      <c r="G69" t="s">
        <v>477</v>
      </c>
      <c r="H69" t="s">
        <v>459</v>
      </c>
      <c r="I69" t="s">
        <v>477</v>
      </c>
      <c r="J69" t="s">
        <v>477</v>
      </c>
      <c r="N69" t="s">
        <v>477</v>
      </c>
      <c r="Q69" t="s">
        <v>459</v>
      </c>
      <c r="R69" t="s">
        <v>459</v>
      </c>
      <c r="S69" t="s">
        <v>477</v>
      </c>
    </row>
    <row r="70" spans="1:19" x14ac:dyDescent="0.2">
      <c r="A70" t="s">
        <v>483</v>
      </c>
      <c r="B70" t="s">
        <v>206</v>
      </c>
      <c r="C70" t="s">
        <v>622</v>
      </c>
      <c r="D70" t="s">
        <v>535</v>
      </c>
      <c r="E70" t="s">
        <v>536</v>
      </c>
      <c r="F70" t="s">
        <v>477</v>
      </c>
      <c r="G70" t="s">
        <v>477</v>
      </c>
      <c r="H70" t="s">
        <v>477</v>
      </c>
      <c r="I70" t="s">
        <v>477</v>
      </c>
      <c r="J70" t="s">
        <v>477</v>
      </c>
      <c r="Q70" t="s">
        <v>459</v>
      </c>
      <c r="R70" t="s">
        <v>459</v>
      </c>
      <c r="S70" t="s">
        <v>477</v>
      </c>
    </row>
    <row r="71" spans="1:19" x14ac:dyDescent="0.2">
      <c r="A71" t="s">
        <v>483</v>
      </c>
      <c r="B71" t="s">
        <v>104</v>
      </c>
      <c r="C71" t="s">
        <v>598</v>
      </c>
      <c r="D71" t="s">
        <v>538</v>
      </c>
      <c r="E71" t="s">
        <v>539</v>
      </c>
      <c r="F71" t="s">
        <v>477</v>
      </c>
      <c r="G71" t="s">
        <v>477</v>
      </c>
      <c r="H71" t="s">
        <v>477</v>
      </c>
      <c r="I71" t="s">
        <v>477</v>
      </c>
      <c r="J71" t="s">
        <v>477</v>
      </c>
      <c r="Q71" t="s">
        <v>459</v>
      </c>
      <c r="R71" t="s">
        <v>459</v>
      </c>
      <c r="S71" t="s">
        <v>477</v>
      </c>
    </row>
    <row r="72" spans="1:19" x14ac:dyDescent="0.2">
      <c r="A72" t="s">
        <v>483</v>
      </c>
      <c r="B72" t="s">
        <v>207</v>
      </c>
      <c r="C72" t="s">
        <v>623</v>
      </c>
      <c r="D72" t="s">
        <v>552</v>
      </c>
      <c r="E72" t="s">
        <v>536</v>
      </c>
      <c r="F72" t="s">
        <v>477</v>
      </c>
      <c r="G72" t="s">
        <v>477</v>
      </c>
      <c r="H72" t="s">
        <v>459</v>
      </c>
      <c r="I72" t="s">
        <v>477</v>
      </c>
      <c r="J72" t="s">
        <v>477</v>
      </c>
      <c r="N72" t="s">
        <v>477</v>
      </c>
      <c r="Q72" t="s">
        <v>459</v>
      </c>
      <c r="R72" t="s">
        <v>459</v>
      </c>
      <c r="S72" t="s">
        <v>477</v>
      </c>
    </row>
    <row r="73" spans="1:19" x14ac:dyDescent="0.2">
      <c r="A73" t="s">
        <v>483</v>
      </c>
      <c r="B73" t="s">
        <v>208</v>
      </c>
      <c r="C73" t="s">
        <v>624</v>
      </c>
      <c r="D73" t="s">
        <v>538</v>
      </c>
      <c r="E73" t="s">
        <v>539</v>
      </c>
      <c r="F73" t="s">
        <v>477</v>
      </c>
      <c r="G73" t="s">
        <v>477</v>
      </c>
      <c r="H73" t="s">
        <v>477</v>
      </c>
      <c r="I73" t="s">
        <v>477</v>
      </c>
      <c r="J73" t="s">
        <v>477</v>
      </c>
      <c r="Q73" t="s">
        <v>459</v>
      </c>
      <c r="R73" t="s">
        <v>459</v>
      </c>
      <c r="S73" t="s">
        <v>477</v>
      </c>
    </row>
    <row r="74" spans="1:19" x14ac:dyDescent="0.2">
      <c r="A74" t="s">
        <v>483</v>
      </c>
      <c r="B74" t="s">
        <v>209</v>
      </c>
      <c r="C74" t="s">
        <v>625</v>
      </c>
      <c r="D74" t="s">
        <v>552</v>
      </c>
      <c r="E74" t="s">
        <v>536</v>
      </c>
      <c r="F74" t="s">
        <v>477</v>
      </c>
      <c r="G74" t="s">
        <v>477</v>
      </c>
      <c r="H74" t="s">
        <v>459</v>
      </c>
      <c r="I74" t="s">
        <v>477</v>
      </c>
      <c r="J74" t="s">
        <v>477</v>
      </c>
      <c r="N74" t="s">
        <v>477</v>
      </c>
      <c r="Q74" t="s">
        <v>459</v>
      </c>
      <c r="R74" t="s">
        <v>459</v>
      </c>
      <c r="S74" t="s">
        <v>477</v>
      </c>
    </row>
    <row r="75" spans="1:19" x14ac:dyDescent="0.2">
      <c r="A75" t="s">
        <v>483</v>
      </c>
      <c r="B75" t="s">
        <v>210</v>
      </c>
      <c r="C75" t="s">
        <v>626</v>
      </c>
      <c r="D75" t="s">
        <v>538</v>
      </c>
      <c r="E75" t="s">
        <v>539</v>
      </c>
      <c r="F75" t="s">
        <v>477</v>
      </c>
      <c r="G75" t="s">
        <v>477</v>
      </c>
      <c r="H75" t="s">
        <v>477</v>
      </c>
      <c r="I75" t="s">
        <v>477</v>
      </c>
      <c r="J75" t="s">
        <v>477</v>
      </c>
      <c r="Q75" t="s">
        <v>459</v>
      </c>
      <c r="R75" t="s">
        <v>459</v>
      </c>
      <c r="S75" t="s">
        <v>477</v>
      </c>
    </row>
    <row r="76" spans="1:19" x14ac:dyDescent="0.2">
      <c r="A76" t="s">
        <v>483</v>
      </c>
      <c r="B76" t="s">
        <v>169</v>
      </c>
      <c r="C76" t="s">
        <v>608</v>
      </c>
      <c r="D76" t="s">
        <v>602</v>
      </c>
      <c r="E76" t="s">
        <v>539</v>
      </c>
      <c r="F76" t="s">
        <v>477</v>
      </c>
      <c r="G76" t="s">
        <v>477</v>
      </c>
      <c r="H76" t="s">
        <v>459</v>
      </c>
      <c r="I76" t="s">
        <v>477</v>
      </c>
      <c r="J76" t="s">
        <v>477</v>
      </c>
      <c r="N76" t="s">
        <v>603</v>
      </c>
      <c r="Q76" t="s">
        <v>459</v>
      </c>
      <c r="R76" t="s">
        <v>459</v>
      </c>
      <c r="S76" t="s">
        <v>477</v>
      </c>
    </row>
    <row r="77" spans="1:19" x14ac:dyDescent="0.2">
      <c r="A77" t="s">
        <v>483</v>
      </c>
      <c r="B77" t="s">
        <v>211</v>
      </c>
      <c r="C77" t="s">
        <v>627</v>
      </c>
      <c r="D77" t="s">
        <v>535</v>
      </c>
      <c r="E77" t="s">
        <v>536</v>
      </c>
      <c r="F77" t="s">
        <v>477</v>
      </c>
      <c r="G77" t="s">
        <v>459</v>
      </c>
      <c r="H77" t="s">
        <v>477</v>
      </c>
      <c r="I77" t="s">
        <v>477</v>
      </c>
      <c r="J77" t="s">
        <v>477</v>
      </c>
      <c r="K77" t="s">
        <v>501</v>
      </c>
      <c r="L77" t="s">
        <v>476</v>
      </c>
      <c r="M77" t="s">
        <v>628</v>
      </c>
      <c r="Q77" t="s">
        <v>459</v>
      </c>
      <c r="R77" t="s">
        <v>459</v>
      </c>
      <c r="S77" t="s">
        <v>477</v>
      </c>
    </row>
    <row r="78" spans="1:19" x14ac:dyDescent="0.2">
      <c r="A78" t="s">
        <v>483</v>
      </c>
      <c r="B78" t="s">
        <v>212</v>
      </c>
      <c r="D78" t="s">
        <v>538</v>
      </c>
      <c r="F78" t="s">
        <v>477</v>
      </c>
      <c r="G78" t="s">
        <v>477</v>
      </c>
      <c r="H78" t="s">
        <v>477</v>
      </c>
      <c r="I78" t="s">
        <v>477</v>
      </c>
      <c r="J78" t="s">
        <v>459</v>
      </c>
      <c r="Q78" t="s">
        <v>459</v>
      </c>
      <c r="R78" t="s">
        <v>459</v>
      </c>
      <c r="S78" t="s">
        <v>477</v>
      </c>
    </row>
    <row r="79" spans="1:19" x14ac:dyDescent="0.2">
      <c r="A79" t="s">
        <v>486</v>
      </c>
      <c r="B79" t="s">
        <v>70</v>
      </c>
      <c r="C79" t="s">
        <v>476</v>
      </c>
      <c r="D79" t="s">
        <v>535</v>
      </c>
      <c r="E79" t="s">
        <v>536</v>
      </c>
      <c r="F79" t="s">
        <v>459</v>
      </c>
      <c r="G79" t="s">
        <v>477</v>
      </c>
      <c r="H79" t="s">
        <v>477</v>
      </c>
      <c r="I79" t="s">
        <v>477</v>
      </c>
      <c r="J79" t="s">
        <v>477</v>
      </c>
      <c r="Q79" t="s">
        <v>459</v>
      </c>
      <c r="R79" t="s">
        <v>459</v>
      </c>
      <c r="S79" t="s">
        <v>477</v>
      </c>
    </row>
    <row r="80" spans="1:19" x14ac:dyDescent="0.2">
      <c r="A80" t="s">
        <v>486</v>
      </c>
      <c r="B80" t="s">
        <v>164</v>
      </c>
      <c r="C80" t="s">
        <v>605</v>
      </c>
      <c r="D80" t="s">
        <v>552</v>
      </c>
      <c r="E80" t="s">
        <v>536</v>
      </c>
      <c r="F80" t="s">
        <v>477</v>
      </c>
      <c r="G80" t="s">
        <v>477</v>
      </c>
      <c r="H80" t="s">
        <v>459</v>
      </c>
      <c r="I80" t="s">
        <v>477</v>
      </c>
      <c r="J80" t="s">
        <v>477</v>
      </c>
      <c r="Q80" t="s">
        <v>459</v>
      </c>
      <c r="R80" t="s">
        <v>459</v>
      </c>
      <c r="S80" t="s">
        <v>477</v>
      </c>
    </row>
    <row r="81" spans="1:19" x14ac:dyDescent="0.2">
      <c r="A81" t="s">
        <v>486</v>
      </c>
      <c r="B81" t="s">
        <v>104</v>
      </c>
      <c r="C81" t="s">
        <v>598</v>
      </c>
      <c r="D81" t="s">
        <v>538</v>
      </c>
      <c r="E81" t="s">
        <v>539</v>
      </c>
      <c r="F81" t="s">
        <v>477</v>
      </c>
      <c r="G81" t="s">
        <v>477</v>
      </c>
      <c r="H81" t="s">
        <v>477</v>
      </c>
      <c r="I81" t="s">
        <v>477</v>
      </c>
      <c r="J81" t="s">
        <v>477</v>
      </c>
      <c r="Q81" t="s">
        <v>459</v>
      </c>
      <c r="R81" t="s">
        <v>459</v>
      </c>
      <c r="S81" t="s">
        <v>477</v>
      </c>
    </row>
    <row r="82" spans="1:19" x14ac:dyDescent="0.2">
      <c r="A82" t="s">
        <v>486</v>
      </c>
      <c r="B82" t="s">
        <v>222</v>
      </c>
      <c r="C82" t="s">
        <v>629</v>
      </c>
      <c r="D82" t="s">
        <v>535</v>
      </c>
      <c r="E82" t="s">
        <v>536</v>
      </c>
      <c r="F82" t="s">
        <v>477</v>
      </c>
      <c r="G82" t="s">
        <v>459</v>
      </c>
      <c r="H82" t="s">
        <v>459</v>
      </c>
      <c r="I82" t="s">
        <v>477</v>
      </c>
      <c r="J82" t="s">
        <v>477</v>
      </c>
      <c r="K82" t="s">
        <v>483</v>
      </c>
      <c r="L82" t="s">
        <v>476</v>
      </c>
      <c r="M82" t="s">
        <v>610</v>
      </c>
      <c r="Q82" t="s">
        <v>459</v>
      </c>
      <c r="R82" t="s">
        <v>459</v>
      </c>
      <c r="S82" t="s">
        <v>477</v>
      </c>
    </row>
    <row r="83" spans="1:19" x14ac:dyDescent="0.2">
      <c r="A83" t="s">
        <v>486</v>
      </c>
      <c r="B83" t="s">
        <v>223</v>
      </c>
      <c r="D83" t="s">
        <v>602</v>
      </c>
      <c r="F83" t="s">
        <v>477</v>
      </c>
      <c r="G83" t="s">
        <v>477</v>
      </c>
      <c r="H83" t="s">
        <v>477</v>
      </c>
      <c r="I83" t="s">
        <v>477</v>
      </c>
      <c r="J83" t="s">
        <v>459</v>
      </c>
      <c r="Q83" t="s">
        <v>459</v>
      </c>
      <c r="R83" t="s">
        <v>459</v>
      </c>
      <c r="S83" t="s">
        <v>477</v>
      </c>
    </row>
    <row r="84" spans="1:19" x14ac:dyDescent="0.2">
      <c r="A84" t="s">
        <v>486</v>
      </c>
      <c r="B84" t="s">
        <v>224</v>
      </c>
      <c r="C84" t="s">
        <v>630</v>
      </c>
      <c r="D84" t="s">
        <v>552</v>
      </c>
      <c r="E84" t="s">
        <v>536</v>
      </c>
      <c r="F84" t="s">
        <v>477</v>
      </c>
      <c r="G84" t="s">
        <v>477</v>
      </c>
      <c r="H84" t="s">
        <v>459</v>
      </c>
      <c r="I84" t="s">
        <v>477</v>
      </c>
      <c r="J84" t="s">
        <v>477</v>
      </c>
      <c r="Q84" t="s">
        <v>459</v>
      </c>
      <c r="R84" t="s">
        <v>459</v>
      </c>
      <c r="S84" t="s">
        <v>477</v>
      </c>
    </row>
    <row r="85" spans="1:19" x14ac:dyDescent="0.2">
      <c r="A85" t="s">
        <v>486</v>
      </c>
      <c r="B85" t="s">
        <v>165</v>
      </c>
      <c r="C85" t="s">
        <v>606</v>
      </c>
      <c r="D85" t="s">
        <v>535</v>
      </c>
      <c r="E85" t="s">
        <v>536</v>
      </c>
      <c r="F85" t="s">
        <v>477</v>
      </c>
      <c r="G85" t="s">
        <v>459</v>
      </c>
      <c r="H85" t="s">
        <v>459</v>
      </c>
      <c r="I85" t="s">
        <v>477</v>
      </c>
      <c r="J85" t="s">
        <v>477</v>
      </c>
      <c r="K85" t="s">
        <v>474</v>
      </c>
      <c r="L85" t="s">
        <v>476</v>
      </c>
      <c r="M85" t="s">
        <v>543</v>
      </c>
      <c r="Q85" t="s">
        <v>459</v>
      </c>
      <c r="R85" t="s">
        <v>459</v>
      </c>
      <c r="S85" t="s">
        <v>477</v>
      </c>
    </row>
    <row r="86" spans="1:19" x14ac:dyDescent="0.2">
      <c r="A86" t="s">
        <v>486</v>
      </c>
      <c r="B86" t="s">
        <v>166</v>
      </c>
      <c r="D86" t="s">
        <v>538</v>
      </c>
      <c r="F86" t="s">
        <v>477</v>
      </c>
      <c r="G86" t="s">
        <v>477</v>
      </c>
      <c r="H86" t="s">
        <v>477</v>
      </c>
      <c r="I86" t="s">
        <v>477</v>
      </c>
      <c r="J86" t="s">
        <v>459</v>
      </c>
      <c r="Q86" t="s">
        <v>459</v>
      </c>
      <c r="R86" t="s">
        <v>459</v>
      </c>
      <c r="S86" t="s">
        <v>477</v>
      </c>
    </row>
    <row r="87" spans="1:19" x14ac:dyDescent="0.2">
      <c r="A87" t="s">
        <v>486</v>
      </c>
      <c r="B87" t="s">
        <v>207</v>
      </c>
      <c r="C87" t="s">
        <v>623</v>
      </c>
      <c r="D87" t="s">
        <v>552</v>
      </c>
      <c r="E87" t="s">
        <v>536</v>
      </c>
      <c r="F87" t="s">
        <v>477</v>
      </c>
      <c r="G87" t="s">
        <v>477</v>
      </c>
      <c r="H87" t="s">
        <v>459</v>
      </c>
      <c r="I87" t="s">
        <v>477</v>
      </c>
      <c r="J87" t="s">
        <v>477</v>
      </c>
      <c r="Q87" t="s">
        <v>459</v>
      </c>
      <c r="R87" t="s">
        <v>459</v>
      </c>
      <c r="S87" t="s">
        <v>477</v>
      </c>
    </row>
    <row r="88" spans="1:19" x14ac:dyDescent="0.2">
      <c r="A88" t="s">
        <v>488</v>
      </c>
      <c r="B88" t="s">
        <v>70</v>
      </c>
      <c r="C88" t="s">
        <v>476</v>
      </c>
      <c r="D88" t="s">
        <v>535</v>
      </c>
      <c r="E88" t="s">
        <v>536</v>
      </c>
      <c r="F88" t="s">
        <v>459</v>
      </c>
      <c r="G88" t="s">
        <v>477</v>
      </c>
      <c r="H88" t="s">
        <v>477</v>
      </c>
      <c r="I88" t="s">
        <v>477</v>
      </c>
      <c r="J88" t="s">
        <v>477</v>
      </c>
      <c r="Q88" t="s">
        <v>459</v>
      </c>
      <c r="R88" t="s">
        <v>459</v>
      </c>
      <c r="S88" t="s">
        <v>477</v>
      </c>
    </row>
    <row r="89" spans="1:19" x14ac:dyDescent="0.2">
      <c r="A89" t="s">
        <v>488</v>
      </c>
      <c r="B89" t="s">
        <v>171</v>
      </c>
      <c r="C89" t="s">
        <v>610</v>
      </c>
      <c r="D89" t="s">
        <v>602</v>
      </c>
      <c r="E89" t="s">
        <v>539</v>
      </c>
      <c r="F89" t="s">
        <v>477</v>
      </c>
      <c r="G89" t="s">
        <v>477</v>
      </c>
      <c r="H89" t="s">
        <v>459</v>
      </c>
      <c r="I89" t="s">
        <v>477</v>
      </c>
      <c r="J89" t="s">
        <v>477</v>
      </c>
      <c r="N89" t="s">
        <v>603</v>
      </c>
      <c r="Q89" t="s">
        <v>459</v>
      </c>
      <c r="R89" t="s">
        <v>459</v>
      </c>
      <c r="S89" t="s">
        <v>477</v>
      </c>
    </row>
    <row r="90" spans="1:19" x14ac:dyDescent="0.2">
      <c r="A90" t="s">
        <v>488</v>
      </c>
      <c r="B90" t="s">
        <v>203</v>
      </c>
      <c r="C90" t="s">
        <v>618</v>
      </c>
      <c r="D90" t="s">
        <v>538</v>
      </c>
      <c r="E90" t="s">
        <v>539</v>
      </c>
      <c r="F90" t="s">
        <v>477</v>
      </c>
      <c r="G90" t="s">
        <v>477</v>
      </c>
      <c r="H90" t="s">
        <v>459</v>
      </c>
      <c r="I90" t="s">
        <v>477</v>
      </c>
      <c r="J90" t="s">
        <v>477</v>
      </c>
      <c r="N90" t="s">
        <v>631</v>
      </c>
      <c r="Q90" t="s">
        <v>459</v>
      </c>
      <c r="R90" t="s">
        <v>459</v>
      </c>
      <c r="S90" t="s">
        <v>477</v>
      </c>
    </row>
    <row r="91" spans="1:19" x14ac:dyDescent="0.2">
      <c r="A91" t="s">
        <v>488</v>
      </c>
      <c r="B91" t="s">
        <v>172</v>
      </c>
      <c r="C91" t="s">
        <v>611</v>
      </c>
      <c r="D91" t="s">
        <v>593</v>
      </c>
      <c r="E91" t="s">
        <v>539</v>
      </c>
      <c r="F91" t="s">
        <v>477</v>
      </c>
      <c r="G91" t="s">
        <v>477</v>
      </c>
      <c r="H91" t="s">
        <v>459</v>
      </c>
      <c r="I91" t="s">
        <v>477</v>
      </c>
      <c r="J91" t="s">
        <v>477</v>
      </c>
      <c r="Q91" t="s">
        <v>459</v>
      </c>
      <c r="R91" t="s">
        <v>459</v>
      </c>
      <c r="S91" t="s">
        <v>477</v>
      </c>
    </row>
    <row r="92" spans="1:19" x14ac:dyDescent="0.2">
      <c r="A92" t="s">
        <v>488</v>
      </c>
      <c r="B92" t="s">
        <v>225</v>
      </c>
      <c r="C92" t="s">
        <v>632</v>
      </c>
      <c r="D92" t="s">
        <v>593</v>
      </c>
      <c r="E92" t="s">
        <v>539</v>
      </c>
      <c r="F92" t="s">
        <v>477</v>
      </c>
      <c r="G92" t="s">
        <v>477</v>
      </c>
      <c r="H92" t="s">
        <v>477</v>
      </c>
      <c r="I92" t="s">
        <v>477</v>
      </c>
      <c r="J92" t="s">
        <v>477</v>
      </c>
      <c r="Q92" t="s">
        <v>459</v>
      </c>
      <c r="R92" t="s">
        <v>459</v>
      </c>
      <c r="S92" t="s">
        <v>477</v>
      </c>
    </row>
    <row r="93" spans="1:19" x14ac:dyDescent="0.2">
      <c r="A93" t="s">
        <v>488</v>
      </c>
      <c r="B93" t="s">
        <v>204</v>
      </c>
      <c r="C93" t="s">
        <v>620</v>
      </c>
      <c r="D93" t="s">
        <v>538</v>
      </c>
      <c r="E93" t="s">
        <v>539</v>
      </c>
      <c r="F93" t="s">
        <v>477</v>
      </c>
      <c r="G93" t="s">
        <v>477</v>
      </c>
      <c r="H93" t="s">
        <v>459</v>
      </c>
      <c r="I93" t="s">
        <v>477</v>
      </c>
      <c r="J93" t="s">
        <v>477</v>
      </c>
      <c r="Q93" t="s">
        <v>459</v>
      </c>
      <c r="R93" t="s">
        <v>459</v>
      </c>
      <c r="S93" t="s">
        <v>477</v>
      </c>
    </row>
    <row r="94" spans="1:19" x14ac:dyDescent="0.2">
      <c r="A94" t="s">
        <v>488</v>
      </c>
      <c r="B94" t="s">
        <v>205</v>
      </c>
      <c r="C94" t="s">
        <v>621</v>
      </c>
      <c r="D94" t="s">
        <v>552</v>
      </c>
      <c r="E94" t="s">
        <v>536</v>
      </c>
      <c r="F94" t="s">
        <v>477</v>
      </c>
      <c r="G94" t="s">
        <v>477</v>
      </c>
      <c r="H94" t="s">
        <v>459</v>
      </c>
      <c r="I94" t="s">
        <v>477</v>
      </c>
      <c r="J94" t="s">
        <v>477</v>
      </c>
      <c r="N94" t="s">
        <v>477</v>
      </c>
      <c r="Q94" t="s">
        <v>459</v>
      </c>
      <c r="R94" t="s">
        <v>459</v>
      </c>
      <c r="S94" t="s">
        <v>477</v>
      </c>
    </row>
    <row r="95" spans="1:19" x14ac:dyDescent="0.2">
      <c r="A95" t="s">
        <v>488</v>
      </c>
      <c r="B95" t="s">
        <v>104</v>
      </c>
      <c r="C95" t="s">
        <v>598</v>
      </c>
      <c r="D95" t="s">
        <v>538</v>
      </c>
      <c r="E95" t="s">
        <v>539</v>
      </c>
      <c r="F95" t="s">
        <v>477</v>
      </c>
      <c r="G95" t="s">
        <v>477</v>
      </c>
      <c r="H95" t="s">
        <v>477</v>
      </c>
      <c r="I95" t="s">
        <v>477</v>
      </c>
      <c r="J95" t="s">
        <v>477</v>
      </c>
      <c r="Q95" t="s">
        <v>459</v>
      </c>
      <c r="R95" t="s">
        <v>459</v>
      </c>
      <c r="S95" t="s">
        <v>477</v>
      </c>
    </row>
    <row r="96" spans="1:19" x14ac:dyDescent="0.2">
      <c r="A96" t="s">
        <v>488</v>
      </c>
      <c r="B96" t="s">
        <v>226</v>
      </c>
      <c r="C96" t="s">
        <v>633</v>
      </c>
      <c r="D96" t="s">
        <v>535</v>
      </c>
      <c r="E96" t="s">
        <v>536</v>
      </c>
      <c r="F96" t="s">
        <v>477</v>
      </c>
      <c r="G96" t="s">
        <v>459</v>
      </c>
      <c r="H96" t="s">
        <v>459</v>
      </c>
      <c r="I96" t="s">
        <v>477</v>
      </c>
      <c r="J96" t="s">
        <v>477</v>
      </c>
      <c r="K96" t="s">
        <v>504</v>
      </c>
      <c r="L96" t="s">
        <v>476</v>
      </c>
      <c r="M96" t="s">
        <v>543</v>
      </c>
      <c r="Q96" t="s">
        <v>459</v>
      </c>
      <c r="R96" t="s">
        <v>459</v>
      </c>
      <c r="S96" t="s">
        <v>477</v>
      </c>
    </row>
    <row r="97" spans="1:19" x14ac:dyDescent="0.2">
      <c r="A97" t="s">
        <v>488</v>
      </c>
      <c r="B97" t="s">
        <v>227</v>
      </c>
      <c r="D97" t="s">
        <v>538</v>
      </c>
      <c r="F97" t="s">
        <v>477</v>
      </c>
      <c r="G97" t="s">
        <v>477</v>
      </c>
      <c r="H97" t="s">
        <v>477</v>
      </c>
      <c r="I97" t="s">
        <v>477</v>
      </c>
      <c r="J97" t="s">
        <v>459</v>
      </c>
      <c r="Q97" t="s">
        <v>459</v>
      </c>
      <c r="R97" t="s">
        <v>459</v>
      </c>
      <c r="S97" t="s">
        <v>477</v>
      </c>
    </row>
    <row r="98" spans="1:19" x14ac:dyDescent="0.2">
      <c r="A98" t="s">
        <v>488</v>
      </c>
      <c r="B98" t="s">
        <v>207</v>
      </c>
      <c r="C98" t="s">
        <v>623</v>
      </c>
      <c r="D98" t="s">
        <v>552</v>
      </c>
      <c r="E98" t="s">
        <v>536</v>
      </c>
      <c r="F98" t="s">
        <v>477</v>
      </c>
      <c r="G98" t="s">
        <v>477</v>
      </c>
      <c r="H98" t="s">
        <v>459</v>
      </c>
      <c r="I98" t="s">
        <v>477</v>
      </c>
      <c r="J98" t="s">
        <v>477</v>
      </c>
      <c r="N98" t="s">
        <v>477</v>
      </c>
      <c r="Q98" t="s">
        <v>459</v>
      </c>
      <c r="R98" t="s">
        <v>459</v>
      </c>
      <c r="S98" t="s">
        <v>477</v>
      </c>
    </row>
    <row r="99" spans="1:19" x14ac:dyDescent="0.2">
      <c r="A99" t="s">
        <v>488</v>
      </c>
      <c r="B99" t="s">
        <v>209</v>
      </c>
      <c r="C99" t="s">
        <v>625</v>
      </c>
      <c r="D99" t="s">
        <v>552</v>
      </c>
      <c r="E99" t="s">
        <v>536</v>
      </c>
      <c r="F99" t="s">
        <v>477</v>
      </c>
      <c r="G99" t="s">
        <v>477</v>
      </c>
      <c r="H99" t="s">
        <v>459</v>
      </c>
      <c r="I99" t="s">
        <v>477</v>
      </c>
      <c r="J99" t="s">
        <v>477</v>
      </c>
      <c r="N99" t="s">
        <v>477</v>
      </c>
      <c r="Q99" t="s">
        <v>459</v>
      </c>
      <c r="R99" t="s">
        <v>459</v>
      </c>
      <c r="S99" t="s">
        <v>477</v>
      </c>
    </row>
    <row r="100" spans="1:19" x14ac:dyDescent="0.2">
      <c r="A100" t="s">
        <v>488</v>
      </c>
      <c r="B100" t="s">
        <v>169</v>
      </c>
      <c r="C100" t="s">
        <v>608</v>
      </c>
      <c r="D100" t="s">
        <v>602</v>
      </c>
      <c r="E100" t="s">
        <v>539</v>
      </c>
      <c r="F100" t="s">
        <v>477</v>
      </c>
      <c r="G100" t="s">
        <v>477</v>
      </c>
      <c r="H100" t="s">
        <v>459</v>
      </c>
      <c r="I100" t="s">
        <v>477</v>
      </c>
      <c r="J100" t="s">
        <v>477</v>
      </c>
      <c r="N100" t="s">
        <v>603</v>
      </c>
      <c r="Q100" t="s">
        <v>459</v>
      </c>
      <c r="R100" t="s">
        <v>459</v>
      </c>
      <c r="S100" t="s">
        <v>477</v>
      </c>
    </row>
    <row r="101" spans="1:19" x14ac:dyDescent="0.2">
      <c r="A101" t="s">
        <v>491</v>
      </c>
      <c r="B101" t="s">
        <v>70</v>
      </c>
      <c r="C101" t="s">
        <v>476</v>
      </c>
      <c r="D101" t="s">
        <v>535</v>
      </c>
      <c r="E101" t="s">
        <v>536</v>
      </c>
      <c r="F101" t="s">
        <v>459</v>
      </c>
      <c r="G101" t="s">
        <v>477</v>
      </c>
      <c r="H101" t="s">
        <v>477</v>
      </c>
      <c r="I101" t="s">
        <v>477</v>
      </c>
      <c r="J101" t="s">
        <v>477</v>
      </c>
      <c r="Q101" t="s">
        <v>459</v>
      </c>
      <c r="R101" t="s">
        <v>459</v>
      </c>
      <c r="S101" t="s">
        <v>477</v>
      </c>
    </row>
    <row r="102" spans="1:19" x14ac:dyDescent="0.2">
      <c r="A102" t="s">
        <v>491</v>
      </c>
      <c r="B102" t="s">
        <v>164</v>
      </c>
      <c r="C102" t="s">
        <v>605</v>
      </c>
      <c r="D102" t="s">
        <v>552</v>
      </c>
      <c r="E102" t="s">
        <v>536</v>
      </c>
      <c r="F102" t="s">
        <v>477</v>
      </c>
      <c r="G102" t="s">
        <v>477</v>
      </c>
      <c r="H102" t="s">
        <v>459</v>
      </c>
      <c r="I102" t="s">
        <v>477</v>
      </c>
      <c r="J102" t="s">
        <v>477</v>
      </c>
      <c r="Q102" t="s">
        <v>459</v>
      </c>
      <c r="R102" t="s">
        <v>459</v>
      </c>
      <c r="S102" t="s">
        <v>477</v>
      </c>
    </row>
    <row r="103" spans="1:19" x14ac:dyDescent="0.2">
      <c r="A103" t="s">
        <v>491</v>
      </c>
      <c r="B103" t="s">
        <v>231</v>
      </c>
      <c r="C103" t="s">
        <v>634</v>
      </c>
      <c r="D103" t="s">
        <v>552</v>
      </c>
      <c r="E103" t="s">
        <v>536</v>
      </c>
      <c r="F103" t="s">
        <v>477</v>
      </c>
      <c r="G103" t="s">
        <v>477</v>
      </c>
      <c r="H103" t="s">
        <v>459</v>
      </c>
      <c r="I103" t="s">
        <v>477</v>
      </c>
      <c r="J103" t="s">
        <v>477</v>
      </c>
      <c r="N103" t="s">
        <v>477</v>
      </c>
      <c r="Q103" t="s">
        <v>459</v>
      </c>
      <c r="R103" t="s">
        <v>459</v>
      </c>
      <c r="S103" t="s">
        <v>477</v>
      </c>
    </row>
    <row r="104" spans="1:19" x14ac:dyDescent="0.2">
      <c r="A104" t="s">
        <v>491</v>
      </c>
      <c r="B104" t="s">
        <v>232</v>
      </c>
      <c r="C104" t="s">
        <v>635</v>
      </c>
      <c r="D104" t="s">
        <v>535</v>
      </c>
      <c r="E104" t="s">
        <v>536</v>
      </c>
      <c r="F104" t="s">
        <v>477</v>
      </c>
      <c r="G104" t="s">
        <v>459</v>
      </c>
      <c r="H104" t="s">
        <v>459</v>
      </c>
      <c r="I104" t="s">
        <v>477</v>
      </c>
      <c r="J104" t="s">
        <v>477</v>
      </c>
      <c r="K104" t="s">
        <v>488</v>
      </c>
      <c r="L104" t="s">
        <v>476</v>
      </c>
      <c r="M104" t="s">
        <v>610</v>
      </c>
      <c r="Q104" t="s">
        <v>459</v>
      </c>
      <c r="R104" t="s">
        <v>459</v>
      </c>
      <c r="S104" t="s">
        <v>477</v>
      </c>
    </row>
    <row r="105" spans="1:19" x14ac:dyDescent="0.2">
      <c r="A105" t="s">
        <v>491</v>
      </c>
      <c r="B105" t="s">
        <v>233</v>
      </c>
      <c r="D105" t="s">
        <v>602</v>
      </c>
      <c r="F105" t="s">
        <v>477</v>
      </c>
      <c r="G105" t="s">
        <v>477</v>
      </c>
      <c r="H105" t="s">
        <v>477</v>
      </c>
      <c r="I105" t="s">
        <v>477</v>
      </c>
      <c r="J105" t="s">
        <v>459</v>
      </c>
      <c r="Q105" t="s">
        <v>459</v>
      </c>
      <c r="R105" t="s">
        <v>459</v>
      </c>
      <c r="S105" t="s">
        <v>477</v>
      </c>
    </row>
    <row r="106" spans="1:19" x14ac:dyDescent="0.2">
      <c r="A106" t="s">
        <v>491</v>
      </c>
      <c r="B106" t="s">
        <v>224</v>
      </c>
      <c r="C106" t="s">
        <v>630</v>
      </c>
      <c r="D106" t="s">
        <v>552</v>
      </c>
      <c r="E106" t="s">
        <v>536</v>
      </c>
      <c r="F106" t="s">
        <v>477</v>
      </c>
      <c r="G106" t="s">
        <v>477</v>
      </c>
      <c r="H106" t="s">
        <v>459</v>
      </c>
      <c r="I106" t="s">
        <v>477</v>
      </c>
      <c r="J106" t="s">
        <v>477</v>
      </c>
      <c r="Q106" t="s">
        <v>459</v>
      </c>
      <c r="R106" t="s">
        <v>459</v>
      </c>
      <c r="S106" t="s">
        <v>477</v>
      </c>
    </row>
    <row r="107" spans="1:19" x14ac:dyDescent="0.2">
      <c r="A107" t="s">
        <v>491</v>
      </c>
      <c r="B107" t="s">
        <v>165</v>
      </c>
      <c r="C107" t="s">
        <v>606</v>
      </c>
      <c r="D107" t="s">
        <v>535</v>
      </c>
      <c r="E107" t="s">
        <v>536</v>
      </c>
      <c r="F107" t="s">
        <v>477</v>
      </c>
      <c r="G107" t="s">
        <v>459</v>
      </c>
      <c r="H107" t="s">
        <v>459</v>
      </c>
      <c r="I107" t="s">
        <v>477</v>
      </c>
      <c r="J107" t="s">
        <v>477</v>
      </c>
      <c r="K107" t="s">
        <v>474</v>
      </c>
      <c r="L107" t="s">
        <v>476</v>
      </c>
      <c r="M107" t="s">
        <v>543</v>
      </c>
      <c r="Q107" t="s">
        <v>459</v>
      </c>
      <c r="R107" t="s">
        <v>459</v>
      </c>
      <c r="S107" t="s">
        <v>477</v>
      </c>
    </row>
    <row r="108" spans="1:19" x14ac:dyDescent="0.2">
      <c r="A108" t="s">
        <v>491</v>
      </c>
      <c r="B108" t="s">
        <v>166</v>
      </c>
      <c r="D108" t="s">
        <v>538</v>
      </c>
      <c r="F108" t="s">
        <v>477</v>
      </c>
      <c r="G108" t="s">
        <v>477</v>
      </c>
      <c r="H108" t="s">
        <v>477</v>
      </c>
      <c r="I108" t="s">
        <v>477</v>
      </c>
      <c r="J108" t="s">
        <v>459</v>
      </c>
      <c r="Q108" t="s">
        <v>459</v>
      </c>
      <c r="R108" t="s">
        <v>459</v>
      </c>
      <c r="S108" t="s">
        <v>477</v>
      </c>
    </row>
    <row r="109" spans="1:19" x14ac:dyDescent="0.2">
      <c r="A109" t="s">
        <v>491</v>
      </c>
      <c r="B109" t="s">
        <v>207</v>
      </c>
      <c r="C109" t="s">
        <v>623</v>
      </c>
      <c r="D109" t="s">
        <v>552</v>
      </c>
      <c r="E109" t="s">
        <v>536</v>
      </c>
      <c r="F109" t="s">
        <v>477</v>
      </c>
      <c r="G109" t="s">
        <v>477</v>
      </c>
      <c r="H109" t="s">
        <v>459</v>
      </c>
      <c r="I109" t="s">
        <v>477</v>
      </c>
      <c r="J109" t="s">
        <v>477</v>
      </c>
      <c r="Q109" t="s">
        <v>459</v>
      </c>
      <c r="R109" t="s">
        <v>459</v>
      </c>
      <c r="S109" t="s">
        <v>477</v>
      </c>
    </row>
    <row r="110" spans="1:19" x14ac:dyDescent="0.2">
      <c r="A110" t="s">
        <v>493</v>
      </c>
      <c r="B110" t="s">
        <v>70</v>
      </c>
      <c r="C110" t="s">
        <v>476</v>
      </c>
      <c r="D110" t="s">
        <v>535</v>
      </c>
      <c r="E110" t="s">
        <v>536</v>
      </c>
      <c r="F110" t="s">
        <v>459</v>
      </c>
      <c r="G110" t="s">
        <v>477</v>
      </c>
      <c r="H110" t="s">
        <v>477</v>
      </c>
      <c r="I110" t="s">
        <v>477</v>
      </c>
      <c r="J110" t="s">
        <v>477</v>
      </c>
      <c r="Q110" t="s">
        <v>459</v>
      </c>
      <c r="R110" t="s">
        <v>459</v>
      </c>
      <c r="S110" t="s">
        <v>477</v>
      </c>
    </row>
    <row r="111" spans="1:19" x14ac:dyDescent="0.2">
      <c r="A111" t="s">
        <v>493</v>
      </c>
      <c r="B111" t="s">
        <v>171</v>
      </c>
      <c r="C111" t="s">
        <v>610</v>
      </c>
      <c r="D111" t="s">
        <v>602</v>
      </c>
      <c r="E111" t="s">
        <v>539</v>
      </c>
      <c r="F111" t="s">
        <v>477</v>
      </c>
      <c r="G111" t="s">
        <v>477</v>
      </c>
      <c r="H111" t="s">
        <v>459</v>
      </c>
      <c r="I111" t="s">
        <v>477</v>
      </c>
      <c r="J111" t="s">
        <v>477</v>
      </c>
      <c r="N111" t="s">
        <v>603</v>
      </c>
      <c r="Q111" t="s">
        <v>459</v>
      </c>
      <c r="R111" t="s">
        <v>459</v>
      </c>
      <c r="S111" t="s">
        <v>477</v>
      </c>
    </row>
    <row r="112" spans="1:19" x14ac:dyDescent="0.2">
      <c r="A112" t="s">
        <v>493</v>
      </c>
      <c r="B112" t="s">
        <v>203</v>
      </c>
      <c r="C112" t="s">
        <v>618</v>
      </c>
      <c r="D112" t="s">
        <v>538</v>
      </c>
      <c r="E112" t="s">
        <v>539</v>
      </c>
      <c r="F112" t="s">
        <v>477</v>
      </c>
      <c r="G112" t="s">
        <v>477</v>
      </c>
      <c r="H112" t="s">
        <v>459</v>
      </c>
      <c r="I112" t="s">
        <v>477</v>
      </c>
      <c r="J112" t="s">
        <v>477</v>
      </c>
      <c r="N112" t="s">
        <v>636</v>
      </c>
      <c r="Q112" t="s">
        <v>459</v>
      </c>
      <c r="R112" t="s">
        <v>459</v>
      </c>
      <c r="S112" t="s">
        <v>477</v>
      </c>
    </row>
    <row r="113" spans="1:19" x14ac:dyDescent="0.2">
      <c r="A113" t="s">
        <v>493</v>
      </c>
      <c r="B113" t="s">
        <v>172</v>
      </c>
      <c r="C113" t="s">
        <v>611</v>
      </c>
      <c r="D113" t="s">
        <v>593</v>
      </c>
      <c r="E113" t="s">
        <v>539</v>
      </c>
      <c r="F113" t="s">
        <v>477</v>
      </c>
      <c r="G113" t="s">
        <v>477</v>
      </c>
      <c r="H113" t="s">
        <v>459</v>
      </c>
      <c r="I113" t="s">
        <v>477</v>
      </c>
      <c r="J113" t="s">
        <v>477</v>
      </c>
      <c r="Q113" t="s">
        <v>459</v>
      </c>
      <c r="R113" t="s">
        <v>459</v>
      </c>
      <c r="S113" t="s">
        <v>477</v>
      </c>
    </row>
    <row r="114" spans="1:19" x14ac:dyDescent="0.2">
      <c r="A114" t="s">
        <v>493</v>
      </c>
      <c r="B114" t="s">
        <v>204</v>
      </c>
      <c r="C114" t="s">
        <v>620</v>
      </c>
      <c r="D114" t="s">
        <v>538</v>
      </c>
      <c r="E114" t="s">
        <v>539</v>
      </c>
      <c r="F114" t="s">
        <v>477</v>
      </c>
      <c r="G114" t="s">
        <v>477</v>
      </c>
      <c r="H114" t="s">
        <v>459</v>
      </c>
      <c r="I114" t="s">
        <v>477</v>
      </c>
      <c r="J114" t="s">
        <v>477</v>
      </c>
      <c r="Q114" t="s">
        <v>459</v>
      </c>
      <c r="R114" t="s">
        <v>459</v>
      </c>
      <c r="S114" t="s">
        <v>477</v>
      </c>
    </row>
    <row r="115" spans="1:19" x14ac:dyDescent="0.2">
      <c r="A115" t="s">
        <v>493</v>
      </c>
      <c r="B115" t="s">
        <v>104</v>
      </c>
      <c r="C115" t="s">
        <v>598</v>
      </c>
      <c r="D115" t="s">
        <v>538</v>
      </c>
      <c r="E115" t="s">
        <v>539</v>
      </c>
      <c r="F115" t="s">
        <v>477</v>
      </c>
      <c r="G115" t="s">
        <v>477</v>
      </c>
      <c r="H115" t="s">
        <v>477</v>
      </c>
      <c r="I115" t="s">
        <v>477</v>
      </c>
      <c r="J115" t="s">
        <v>477</v>
      </c>
      <c r="Q115" t="s">
        <v>459</v>
      </c>
      <c r="R115" t="s">
        <v>459</v>
      </c>
      <c r="S115" t="s">
        <v>477</v>
      </c>
    </row>
    <row r="116" spans="1:19" x14ac:dyDescent="0.2">
      <c r="A116" t="s">
        <v>493</v>
      </c>
      <c r="B116" t="s">
        <v>234</v>
      </c>
      <c r="C116" t="s">
        <v>637</v>
      </c>
      <c r="D116" t="s">
        <v>538</v>
      </c>
      <c r="E116" t="s">
        <v>539</v>
      </c>
      <c r="F116" t="s">
        <v>477</v>
      </c>
      <c r="G116" t="s">
        <v>477</v>
      </c>
      <c r="H116" t="s">
        <v>477</v>
      </c>
      <c r="I116" t="s">
        <v>477</v>
      </c>
      <c r="J116" t="s">
        <v>477</v>
      </c>
      <c r="Q116" t="s">
        <v>459</v>
      </c>
      <c r="R116" t="s">
        <v>459</v>
      </c>
      <c r="S116" t="s">
        <v>477</v>
      </c>
    </row>
    <row r="117" spans="1:19" x14ac:dyDescent="0.2">
      <c r="A117" t="s">
        <v>496</v>
      </c>
      <c r="B117" t="s">
        <v>70</v>
      </c>
      <c r="C117" t="s">
        <v>476</v>
      </c>
      <c r="D117" t="s">
        <v>535</v>
      </c>
      <c r="E117" t="s">
        <v>536</v>
      </c>
      <c r="F117" t="s">
        <v>459</v>
      </c>
      <c r="G117" t="s">
        <v>477</v>
      </c>
      <c r="H117" t="s">
        <v>477</v>
      </c>
      <c r="I117" t="s">
        <v>477</v>
      </c>
      <c r="J117" t="s">
        <v>477</v>
      </c>
      <c r="Q117" t="s">
        <v>459</v>
      </c>
      <c r="R117" t="s">
        <v>459</v>
      </c>
      <c r="S117" t="s">
        <v>477</v>
      </c>
    </row>
    <row r="118" spans="1:19" x14ac:dyDescent="0.2">
      <c r="A118" t="s">
        <v>496</v>
      </c>
      <c r="B118" t="s">
        <v>237</v>
      </c>
      <c r="C118" t="s">
        <v>638</v>
      </c>
      <c r="D118" t="s">
        <v>552</v>
      </c>
      <c r="E118" t="s">
        <v>536</v>
      </c>
      <c r="F118" t="s">
        <v>477</v>
      </c>
      <c r="G118" t="s">
        <v>477</v>
      </c>
      <c r="H118" t="s">
        <v>459</v>
      </c>
      <c r="I118" t="s">
        <v>477</v>
      </c>
      <c r="J118" t="s">
        <v>477</v>
      </c>
      <c r="N118" t="s">
        <v>477</v>
      </c>
      <c r="Q118" t="s">
        <v>459</v>
      </c>
      <c r="R118" t="s">
        <v>459</v>
      </c>
      <c r="S118" t="s">
        <v>477</v>
      </c>
    </row>
    <row r="119" spans="1:19" x14ac:dyDescent="0.2">
      <c r="A119" t="s">
        <v>496</v>
      </c>
      <c r="B119" t="s">
        <v>238</v>
      </c>
      <c r="C119" t="s">
        <v>639</v>
      </c>
      <c r="D119" t="s">
        <v>535</v>
      </c>
      <c r="E119" t="s">
        <v>536</v>
      </c>
      <c r="F119" t="s">
        <v>477</v>
      </c>
      <c r="G119" t="s">
        <v>459</v>
      </c>
      <c r="H119" t="s">
        <v>459</v>
      </c>
      <c r="I119" t="s">
        <v>477</v>
      </c>
      <c r="J119" t="s">
        <v>477</v>
      </c>
      <c r="K119" t="s">
        <v>493</v>
      </c>
      <c r="L119" t="s">
        <v>476</v>
      </c>
      <c r="M119" t="s">
        <v>610</v>
      </c>
      <c r="Q119" t="s">
        <v>459</v>
      </c>
      <c r="R119" t="s">
        <v>459</v>
      </c>
      <c r="S119" t="s">
        <v>477</v>
      </c>
    </row>
    <row r="120" spans="1:19" x14ac:dyDescent="0.2">
      <c r="A120" t="s">
        <v>496</v>
      </c>
      <c r="B120" t="s">
        <v>239</v>
      </c>
      <c r="D120" t="s">
        <v>602</v>
      </c>
      <c r="F120" t="s">
        <v>477</v>
      </c>
      <c r="G120" t="s">
        <v>477</v>
      </c>
      <c r="H120" t="s">
        <v>477</v>
      </c>
      <c r="I120" t="s">
        <v>477</v>
      </c>
      <c r="J120" t="s">
        <v>459</v>
      </c>
      <c r="Q120" t="s">
        <v>459</v>
      </c>
      <c r="R120" t="s">
        <v>459</v>
      </c>
      <c r="S120" t="s">
        <v>477</v>
      </c>
    </row>
    <row r="121" spans="1:19" x14ac:dyDescent="0.2">
      <c r="A121" t="s">
        <v>496</v>
      </c>
      <c r="B121" t="s">
        <v>240</v>
      </c>
      <c r="C121" t="s">
        <v>640</v>
      </c>
      <c r="D121" t="s">
        <v>552</v>
      </c>
      <c r="E121" t="s">
        <v>536</v>
      </c>
      <c r="F121" t="s">
        <v>477</v>
      </c>
      <c r="G121" t="s">
        <v>477</v>
      </c>
      <c r="H121" t="s">
        <v>459</v>
      </c>
      <c r="I121" t="s">
        <v>477</v>
      </c>
      <c r="J121" t="s">
        <v>477</v>
      </c>
      <c r="N121" t="s">
        <v>477</v>
      </c>
      <c r="Q121" t="s">
        <v>459</v>
      </c>
      <c r="R121" t="s">
        <v>459</v>
      </c>
      <c r="S121" t="s">
        <v>477</v>
      </c>
    </row>
    <row r="122" spans="1:19" x14ac:dyDescent="0.2">
      <c r="A122" t="s">
        <v>496</v>
      </c>
      <c r="B122" t="s">
        <v>104</v>
      </c>
      <c r="C122" t="s">
        <v>598</v>
      </c>
      <c r="D122" t="s">
        <v>538</v>
      </c>
      <c r="E122" t="s">
        <v>539</v>
      </c>
      <c r="F122" t="s">
        <v>477</v>
      </c>
      <c r="G122" t="s">
        <v>477</v>
      </c>
      <c r="H122" t="s">
        <v>477</v>
      </c>
      <c r="I122" t="s">
        <v>477</v>
      </c>
      <c r="J122" t="s">
        <v>477</v>
      </c>
      <c r="Q122" t="s">
        <v>459</v>
      </c>
      <c r="R122" t="s">
        <v>459</v>
      </c>
      <c r="S122" t="s">
        <v>477</v>
      </c>
    </row>
    <row r="123" spans="1:19" x14ac:dyDescent="0.2">
      <c r="A123" t="s">
        <v>496</v>
      </c>
      <c r="B123" t="s">
        <v>165</v>
      </c>
      <c r="C123" t="s">
        <v>606</v>
      </c>
      <c r="D123" t="s">
        <v>535</v>
      </c>
      <c r="E123" t="s">
        <v>536</v>
      </c>
      <c r="F123" t="s">
        <v>477</v>
      </c>
      <c r="G123" t="s">
        <v>459</v>
      </c>
      <c r="H123" t="s">
        <v>459</v>
      </c>
      <c r="I123" t="s">
        <v>477</v>
      </c>
      <c r="J123" t="s">
        <v>477</v>
      </c>
      <c r="K123" t="s">
        <v>474</v>
      </c>
      <c r="L123" t="s">
        <v>476</v>
      </c>
      <c r="M123" t="s">
        <v>543</v>
      </c>
      <c r="Q123" t="s">
        <v>459</v>
      </c>
      <c r="R123" t="s">
        <v>459</v>
      </c>
      <c r="S123" t="s">
        <v>477</v>
      </c>
    </row>
    <row r="124" spans="1:19" x14ac:dyDescent="0.2">
      <c r="A124" t="s">
        <v>496</v>
      </c>
      <c r="B124" t="s">
        <v>166</v>
      </c>
      <c r="D124" t="s">
        <v>538</v>
      </c>
      <c r="F124" t="s">
        <v>477</v>
      </c>
      <c r="G124" t="s">
        <v>477</v>
      </c>
      <c r="H124" t="s">
        <v>477</v>
      </c>
      <c r="I124" t="s">
        <v>477</v>
      </c>
      <c r="J124" t="s">
        <v>459</v>
      </c>
      <c r="Q124" t="s">
        <v>459</v>
      </c>
      <c r="R124" t="s">
        <v>459</v>
      </c>
      <c r="S124" t="s">
        <v>477</v>
      </c>
    </row>
    <row r="125" spans="1:19" x14ac:dyDescent="0.2">
      <c r="A125" t="s">
        <v>496</v>
      </c>
      <c r="B125" t="s">
        <v>241</v>
      </c>
      <c r="C125" t="s">
        <v>641</v>
      </c>
      <c r="D125" t="s">
        <v>552</v>
      </c>
      <c r="E125" t="s">
        <v>536</v>
      </c>
      <c r="F125" t="s">
        <v>477</v>
      </c>
      <c r="G125" t="s">
        <v>477</v>
      </c>
      <c r="H125" t="s">
        <v>459</v>
      </c>
      <c r="I125" t="s">
        <v>477</v>
      </c>
      <c r="J125" t="s">
        <v>477</v>
      </c>
      <c r="N125" t="s">
        <v>477</v>
      </c>
      <c r="Q125" t="s">
        <v>459</v>
      </c>
      <c r="R125" t="s">
        <v>459</v>
      </c>
      <c r="S125" t="s">
        <v>477</v>
      </c>
    </row>
    <row r="126" spans="1:19" x14ac:dyDescent="0.2">
      <c r="A126" t="s">
        <v>496</v>
      </c>
      <c r="B126" t="s">
        <v>167</v>
      </c>
      <c r="C126" t="s">
        <v>607</v>
      </c>
      <c r="D126" t="s">
        <v>535</v>
      </c>
      <c r="E126" t="s">
        <v>536</v>
      </c>
      <c r="F126" t="s">
        <v>477</v>
      </c>
      <c r="G126" t="s">
        <v>459</v>
      </c>
      <c r="H126" t="s">
        <v>459</v>
      </c>
      <c r="I126" t="s">
        <v>477</v>
      </c>
      <c r="J126" t="s">
        <v>477</v>
      </c>
      <c r="K126" t="s">
        <v>507</v>
      </c>
      <c r="L126" t="s">
        <v>476</v>
      </c>
      <c r="M126" t="s">
        <v>543</v>
      </c>
      <c r="Q126" t="s">
        <v>459</v>
      </c>
      <c r="R126" t="s">
        <v>459</v>
      </c>
      <c r="S126" t="s">
        <v>477</v>
      </c>
    </row>
    <row r="127" spans="1:19" x14ac:dyDescent="0.2">
      <c r="A127" t="s">
        <v>496</v>
      </c>
      <c r="B127" t="s">
        <v>168</v>
      </c>
      <c r="D127" t="s">
        <v>538</v>
      </c>
      <c r="F127" t="s">
        <v>477</v>
      </c>
      <c r="G127" t="s">
        <v>477</v>
      </c>
      <c r="H127" t="s">
        <v>477</v>
      </c>
      <c r="I127" t="s">
        <v>477</v>
      </c>
      <c r="J127" t="s">
        <v>459</v>
      </c>
      <c r="Q127" t="s">
        <v>459</v>
      </c>
      <c r="R127" t="s">
        <v>459</v>
      </c>
      <c r="S127" t="s">
        <v>477</v>
      </c>
    </row>
    <row r="128" spans="1:19" x14ac:dyDescent="0.2">
      <c r="A128" t="s">
        <v>498</v>
      </c>
      <c r="B128" t="s">
        <v>70</v>
      </c>
      <c r="C128" t="s">
        <v>476</v>
      </c>
      <c r="D128" t="s">
        <v>535</v>
      </c>
      <c r="E128" t="s">
        <v>536</v>
      </c>
      <c r="F128" t="s">
        <v>459</v>
      </c>
      <c r="G128" t="s">
        <v>477</v>
      </c>
      <c r="H128" t="s">
        <v>477</v>
      </c>
      <c r="I128" t="s">
        <v>477</v>
      </c>
      <c r="J128" t="s">
        <v>477</v>
      </c>
      <c r="Q128" t="s">
        <v>459</v>
      </c>
      <c r="R128" t="s">
        <v>459</v>
      </c>
      <c r="S128" t="s">
        <v>477</v>
      </c>
    </row>
    <row r="129" spans="1:19" x14ac:dyDescent="0.2">
      <c r="A129" t="s">
        <v>498</v>
      </c>
      <c r="B129" t="s">
        <v>103</v>
      </c>
      <c r="C129" t="s">
        <v>595</v>
      </c>
      <c r="D129" t="s">
        <v>538</v>
      </c>
      <c r="E129" t="s">
        <v>539</v>
      </c>
      <c r="F129" t="s">
        <v>477</v>
      </c>
      <c r="G129" t="s">
        <v>477</v>
      </c>
      <c r="H129" t="s">
        <v>459</v>
      </c>
      <c r="I129" t="s">
        <v>477</v>
      </c>
      <c r="J129" t="s">
        <v>477</v>
      </c>
      <c r="N129" t="s">
        <v>596</v>
      </c>
      <c r="Q129" t="s">
        <v>459</v>
      </c>
      <c r="R129" t="s">
        <v>459</v>
      </c>
      <c r="S129" t="s">
        <v>477</v>
      </c>
    </row>
    <row r="130" spans="1:19" x14ac:dyDescent="0.2">
      <c r="A130" t="s">
        <v>498</v>
      </c>
      <c r="B130" t="s">
        <v>243</v>
      </c>
      <c r="C130" t="s">
        <v>642</v>
      </c>
      <c r="D130" t="s">
        <v>538</v>
      </c>
      <c r="E130" t="s">
        <v>539</v>
      </c>
      <c r="F130" t="s">
        <v>477</v>
      </c>
      <c r="G130" t="s">
        <v>477</v>
      </c>
      <c r="H130" t="s">
        <v>459</v>
      </c>
      <c r="I130" t="s">
        <v>477</v>
      </c>
      <c r="J130" t="s">
        <v>477</v>
      </c>
      <c r="Q130" t="s">
        <v>459</v>
      </c>
      <c r="R130" t="s">
        <v>459</v>
      </c>
      <c r="S130" t="s">
        <v>477</v>
      </c>
    </row>
    <row r="131" spans="1:19" x14ac:dyDescent="0.2">
      <c r="A131" t="s">
        <v>498</v>
      </c>
      <c r="B131" t="s">
        <v>171</v>
      </c>
      <c r="C131" t="s">
        <v>610</v>
      </c>
      <c r="D131" t="s">
        <v>602</v>
      </c>
      <c r="E131" t="s">
        <v>539</v>
      </c>
      <c r="F131" t="s">
        <v>477</v>
      </c>
      <c r="G131" t="s">
        <v>477</v>
      </c>
      <c r="H131" t="s">
        <v>459</v>
      </c>
      <c r="I131" t="s">
        <v>477</v>
      </c>
      <c r="J131" t="s">
        <v>477</v>
      </c>
      <c r="N131" t="s">
        <v>603</v>
      </c>
      <c r="Q131" t="s">
        <v>459</v>
      </c>
      <c r="R131" t="s">
        <v>459</v>
      </c>
      <c r="S131" t="s">
        <v>477</v>
      </c>
    </row>
    <row r="132" spans="1:19" x14ac:dyDescent="0.2">
      <c r="A132" t="s">
        <v>498</v>
      </c>
      <c r="B132" t="s">
        <v>244</v>
      </c>
      <c r="C132" t="s">
        <v>643</v>
      </c>
      <c r="D132" t="s">
        <v>538</v>
      </c>
      <c r="E132" t="s">
        <v>539</v>
      </c>
      <c r="F132" t="s">
        <v>477</v>
      </c>
      <c r="G132" t="s">
        <v>477</v>
      </c>
      <c r="H132" t="s">
        <v>477</v>
      </c>
      <c r="I132" t="s">
        <v>477</v>
      </c>
      <c r="J132" t="s">
        <v>477</v>
      </c>
      <c r="Q132" t="s">
        <v>459</v>
      </c>
      <c r="R132" t="s">
        <v>459</v>
      </c>
      <c r="S132" t="s">
        <v>477</v>
      </c>
    </row>
    <row r="133" spans="1:19" x14ac:dyDescent="0.2">
      <c r="A133" t="s">
        <v>498</v>
      </c>
      <c r="B133" t="s">
        <v>245</v>
      </c>
      <c r="C133" t="s">
        <v>644</v>
      </c>
      <c r="D133" t="s">
        <v>538</v>
      </c>
      <c r="E133" t="s">
        <v>645</v>
      </c>
      <c r="F133" t="s">
        <v>477</v>
      </c>
      <c r="G133" t="s">
        <v>477</v>
      </c>
      <c r="H133" t="s">
        <v>477</v>
      </c>
      <c r="I133" t="s">
        <v>477</v>
      </c>
      <c r="J133" t="s">
        <v>477</v>
      </c>
      <c r="Q133" t="s">
        <v>459</v>
      </c>
      <c r="R133" t="s">
        <v>459</v>
      </c>
      <c r="S133" t="s">
        <v>477</v>
      </c>
    </row>
    <row r="134" spans="1:19" x14ac:dyDescent="0.2">
      <c r="A134" t="s">
        <v>498</v>
      </c>
      <c r="B134" t="s">
        <v>246</v>
      </c>
      <c r="C134" t="s">
        <v>617</v>
      </c>
      <c r="D134" t="s">
        <v>538</v>
      </c>
      <c r="E134" t="s">
        <v>539</v>
      </c>
      <c r="F134" t="s">
        <v>477</v>
      </c>
      <c r="G134" t="s">
        <v>477</v>
      </c>
      <c r="H134" t="s">
        <v>459</v>
      </c>
      <c r="I134" t="s">
        <v>477</v>
      </c>
      <c r="J134" t="s">
        <v>477</v>
      </c>
      <c r="Q134" t="s">
        <v>459</v>
      </c>
      <c r="R134" t="s">
        <v>459</v>
      </c>
      <c r="S134" t="s">
        <v>477</v>
      </c>
    </row>
    <row r="135" spans="1:19" x14ac:dyDescent="0.2">
      <c r="A135" t="s">
        <v>498</v>
      </c>
      <c r="B135" t="s">
        <v>104</v>
      </c>
      <c r="C135" t="s">
        <v>598</v>
      </c>
      <c r="D135" t="s">
        <v>538</v>
      </c>
      <c r="E135" t="s">
        <v>539</v>
      </c>
      <c r="F135" t="s">
        <v>477</v>
      </c>
      <c r="G135" t="s">
        <v>477</v>
      </c>
      <c r="H135" t="s">
        <v>477</v>
      </c>
      <c r="I135" t="s">
        <v>477</v>
      </c>
      <c r="J135" t="s">
        <v>477</v>
      </c>
      <c r="Q135" t="s">
        <v>459</v>
      </c>
      <c r="R135" t="s">
        <v>459</v>
      </c>
      <c r="S135" t="s">
        <v>477</v>
      </c>
    </row>
    <row r="136" spans="1:19" x14ac:dyDescent="0.2">
      <c r="A136" t="s">
        <v>498</v>
      </c>
      <c r="B136" t="s">
        <v>247</v>
      </c>
      <c r="C136" t="s">
        <v>646</v>
      </c>
      <c r="D136" t="s">
        <v>538</v>
      </c>
      <c r="E136" t="s">
        <v>539</v>
      </c>
      <c r="F136" t="s">
        <v>477</v>
      </c>
      <c r="G136" t="s">
        <v>477</v>
      </c>
      <c r="H136" t="s">
        <v>477</v>
      </c>
      <c r="I136" t="s">
        <v>477</v>
      </c>
      <c r="J136" t="s">
        <v>477</v>
      </c>
      <c r="Q136" t="s">
        <v>459</v>
      </c>
      <c r="R136" t="s">
        <v>459</v>
      </c>
      <c r="S136" t="s">
        <v>477</v>
      </c>
    </row>
    <row r="137" spans="1:19" x14ac:dyDescent="0.2">
      <c r="A137" t="s">
        <v>501</v>
      </c>
      <c r="B137" t="s">
        <v>70</v>
      </c>
      <c r="C137" t="s">
        <v>476</v>
      </c>
      <c r="D137" t="s">
        <v>535</v>
      </c>
      <c r="E137" t="s">
        <v>536</v>
      </c>
      <c r="F137" t="s">
        <v>459</v>
      </c>
      <c r="G137" t="s">
        <v>477</v>
      </c>
      <c r="H137" t="s">
        <v>477</v>
      </c>
      <c r="I137" t="s">
        <v>477</v>
      </c>
      <c r="J137" t="s">
        <v>477</v>
      </c>
      <c r="Q137" t="s">
        <v>459</v>
      </c>
      <c r="R137" t="s">
        <v>459</v>
      </c>
      <c r="S137" t="s">
        <v>477</v>
      </c>
    </row>
    <row r="138" spans="1:19" x14ac:dyDescent="0.2">
      <c r="A138" t="s">
        <v>501</v>
      </c>
      <c r="B138" t="s">
        <v>263</v>
      </c>
      <c r="C138" t="s">
        <v>647</v>
      </c>
      <c r="D138" t="s">
        <v>535</v>
      </c>
      <c r="E138" t="s">
        <v>536</v>
      </c>
      <c r="F138" t="s">
        <v>477</v>
      </c>
      <c r="G138" t="s">
        <v>477</v>
      </c>
      <c r="H138" t="s">
        <v>477</v>
      </c>
      <c r="I138" t="s">
        <v>477</v>
      </c>
      <c r="J138" t="s">
        <v>477</v>
      </c>
      <c r="Q138" t="s">
        <v>459</v>
      </c>
      <c r="R138" t="s">
        <v>459</v>
      </c>
      <c r="S138" t="s">
        <v>477</v>
      </c>
    </row>
    <row r="139" spans="1:19" x14ac:dyDescent="0.2">
      <c r="A139" t="s">
        <v>501</v>
      </c>
      <c r="B139" t="s">
        <v>201</v>
      </c>
      <c r="C139" t="s">
        <v>616</v>
      </c>
      <c r="D139" t="s">
        <v>535</v>
      </c>
      <c r="E139" t="s">
        <v>536</v>
      </c>
      <c r="F139" t="s">
        <v>477</v>
      </c>
      <c r="G139" t="s">
        <v>459</v>
      </c>
      <c r="H139" t="s">
        <v>459</v>
      </c>
      <c r="I139" t="s">
        <v>477</v>
      </c>
      <c r="J139" t="s">
        <v>477</v>
      </c>
      <c r="K139" t="s">
        <v>498</v>
      </c>
      <c r="L139" t="s">
        <v>476</v>
      </c>
      <c r="M139" t="s">
        <v>617</v>
      </c>
      <c r="Q139" t="s">
        <v>459</v>
      </c>
      <c r="R139" t="s">
        <v>459</v>
      </c>
      <c r="S139" t="s">
        <v>477</v>
      </c>
    </row>
    <row r="140" spans="1:19" x14ac:dyDescent="0.2">
      <c r="A140" t="s">
        <v>501</v>
      </c>
      <c r="B140" t="s">
        <v>202</v>
      </c>
      <c r="D140" t="s">
        <v>538</v>
      </c>
      <c r="F140" t="s">
        <v>477</v>
      </c>
      <c r="G140" t="s">
        <v>477</v>
      </c>
      <c r="H140" t="s">
        <v>477</v>
      </c>
      <c r="I140" t="s">
        <v>477</v>
      </c>
      <c r="J140" t="s">
        <v>459</v>
      </c>
      <c r="Q140" t="s">
        <v>459</v>
      </c>
      <c r="R140" t="s">
        <v>459</v>
      </c>
      <c r="S140" t="s">
        <v>477</v>
      </c>
    </row>
    <row r="141" spans="1:19" x14ac:dyDescent="0.2">
      <c r="A141" t="s">
        <v>501</v>
      </c>
      <c r="B141" t="s">
        <v>264</v>
      </c>
      <c r="C141" t="s">
        <v>628</v>
      </c>
      <c r="D141" t="s">
        <v>538</v>
      </c>
      <c r="E141" t="s">
        <v>539</v>
      </c>
      <c r="F141" t="s">
        <v>477</v>
      </c>
      <c r="G141" t="s">
        <v>477</v>
      </c>
      <c r="H141" t="s">
        <v>477</v>
      </c>
      <c r="I141" t="s">
        <v>477</v>
      </c>
      <c r="J141" t="s">
        <v>477</v>
      </c>
      <c r="Q141" t="s">
        <v>459</v>
      </c>
      <c r="R141" t="s">
        <v>459</v>
      </c>
      <c r="S141" t="s">
        <v>477</v>
      </c>
    </row>
    <row r="142" spans="1:19" x14ac:dyDescent="0.2">
      <c r="A142" t="s">
        <v>501</v>
      </c>
      <c r="B142" t="s">
        <v>171</v>
      </c>
      <c r="C142" t="s">
        <v>610</v>
      </c>
      <c r="D142" t="s">
        <v>602</v>
      </c>
      <c r="E142" t="s">
        <v>539</v>
      </c>
      <c r="F142" t="s">
        <v>477</v>
      </c>
      <c r="G142" t="s">
        <v>477</v>
      </c>
      <c r="H142" t="s">
        <v>459</v>
      </c>
      <c r="I142" t="s">
        <v>477</v>
      </c>
      <c r="J142" t="s">
        <v>477</v>
      </c>
      <c r="N142" t="s">
        <v>603</v>
      </c>
      <c r="Q142" t="s">
        <v>459</v>
      </c>
      <c r="R142" t="s">
        <v>459</v>
      </c>
      <c r="S142" t="s">
        <v>477</v>
      </c>
    </row>
    <row r="143" spans="1:19" x14ac:dyDescent="0.2">
      <c r="A143" t="s">
        <v>501</v>
      </c>
      <c r="B143" t="s">
        <v>265</v>
      </c>
      <c r="C143" t="s">
        <v>648</v>
      </c>
      <c r="D143" t="s">
        <v>538</v>
      </c>
      <c r="E143" t="s">
        <v>539</v>
      </c>
      <c r="F143" t="s">
        <v>477</v>
      </c>
      <c r="G143" t="s">
        <v>477</v>
      </c>
      <c r="H143" t="s">
        <v>459</v>
      </c>
      <c r="I143" t="s">
        <v>477</v>
      </c>
      <c r="J143" t="s">
        <v>477</v>
      </c>
      <c r="Q143" t="s">
        <v>459</v>
      </c>
      <c r="R143" t="s">
        <v>459</v>
      </c>
      <c r="S143" t="s">
        <v>477</v>
      </c>
    </row>
    <row r="144" spans="1:19" x14ac:dyDescent="0.2">
      <c r="A144" t="s">
        <v>501</v>
      </c>
      <c r="B144" t="s">
        <v>266</v>
      </c>
      <c r="C144" t="s">
        <v>649</v>
      </c>
      <c r="D144" t="s">
        <v>538</v>
      </c>
      <c r="E144" t="s">
        <v>539</v>
      </c>
      <c r="F144" t="s">
        <v>477</v>
      </c>
      <c r="G144" t="s">
        <v>477</v>
      </c>
      <c r="H144" t="s">
        <v>459</v>
      </c>
      <c r="I144" t="s">
        <v>477</v>
      </c>
      <c r="J144" t="s">
        <v>477</v>
      </c>
      <c r="Q144" t="s">
        <v>459</v>
      </c>
      <c r="R144" t="s">
        <v>459</v>
      </c>
      <c r="S144" t="s">
        <v>477</v>
      </c>
    </row>
    <row r="145" spans="1:19" x14ac:dyDescent="0.2">
      <c r="A145" t="s">
        <v>501</v>
      </c>
      <c r="B145" t="s">
        <v>104</v>
      </c>
      <c r="C145" t="s">
        <v>598</v>
      </c>
      <c r="D145" t="s">
        <v>538</v>
      </c>
      <c r="E145" t="s">
        <v>539</v>
      </c>
      <c r="F145" t="s">
        <v>477</v>
      </c>
      <c r="G145" t="s">
        <v>477</v>
      </c>
      <c r="H145" t="s">
        <v>477</v>
      </c>
      <c r="I145" t="s">
        <v>477</v>
      </c>
      <c r="J145" t="s">
        <v>477</v>
      </c>
      <c r="Q145" t="s">
        <v>459</v>
      </c>
      <c r="R145" t="s">
        <v>459</v>
      </c>
      <c r="S145" t="s">
        <v>477</v>
      </c>
    </row>
    <row r="146" spans="1:19" x14ac:dyDescent="0.2">
      <c r="A146" t="s">
        <v>501</v>
      </c>
      <c r="B146" t="s">
        <v>267</v>
      </c>
      <c r="C146" t="s">
        <v>650</v>
      </c>
      <c r="D146" t="s">
        <v>538</v>
      </c>
      <c r="E146" t="s">
        <v>539</v>
      </c>
      <c r="F146" t="s">
        <v>477</v>
      </c>
      <c r="G146" t="s">
        <v>477</v>
      </c>
      <c r="H146" t="s">
        <v>459</v>
      </c>
      <c r="I146" t="s">
        <v>477</v>
      </c>
      <c r="J146" t="s">
        <v>477</v>
      </c>
      <c r="Q146" t="s">
        <v>459</v>
      </c>
      <c r="R146" t="s">
        <v>459</v>
      </c>
      <c r="S146" t="s">
        <v>477</v>
      </c>
    </row>
    <row r="147" spans="1:19" x14ac:dyDescent="0.2">
      <c r="A147" t="s">
        <v>501</v>
      </c>
      <c r="B147" t="s">
        <v>268</v>
      </c>
      <c r="C147" t="s">
        <v>651</v>
      </c>
      <c r="D147" t="s">
        <v>538</v>
      </c>
      <c r="E147" t="s">
        <v>539</v>
      </c>
      <c r="F147" t="s">
        <v>477</v>
      </c>
      <c r="G147" t="s">
        <v>477</v>
      </c>
      <c r="H147" t="s">
        <v>477</v>
      </c>
      <c r="I147" t="s">
        <v>477</v>
      </c>
      <c r="J147" t="s">
        <v>477</v>
      </c>
      <c r="Q147" t="s">
        <v>459</v>
      </c>
      <c r="R147" t="s">
        <v>459</v>
      </c>
      <c r="S147" t="s">
        <v>477</v>
      </c>
    </row>
    <row r="148" spans="1:19" x14ac:dyDescent="0.2">
      <c r="A148" t="s">
        <v>504</v>
      </c>
      <c r="B148" t="s">
        <v>70</v>
      </c>
      <c r="C148" t="s">
        <v>476</v>
      </c>
      <c r="D148" t="s">
        <v>535</v>
      </c>
      <c r="E148" t="s">
        <v>536</v>
      </c>
      <c r="F148" t="s">
        <v>459</v>
      </c>
      <c r="G148" t="s">
        <v>477</v>
      </c>
      <c r="H148" t="s">
        <v>477</v>
      </c>
      <c r="I148" t="s">
        <v>477</v>
      </c>
      <c r="J148" t="s">
        <v>477</v>
      </c>
      <c r="Q148" t="s">
        <v>459</v>
      </c>
      <c r="R148" t="s">
        <v>459</v>
      </c>
      <c r="S148" t="s">
        <v>477</v>
      </c>
    </row>
    <row r="149" spans="1:19" x14ac:dyDescent="0.2">
      <c r="A149" t="s">
        <v>504</v>
      </c>
      <c r="B149" t="s">
        <v>103</v>
      </c>
      <c r="C149" t="s">
        <v>595</v>
      </c>
      <c r="D149" t="s">
        <v>538</v>
      </c>
      <c r="E149" t="s">
        <v>539</v>
      </c>
      <c r="F149" t="s">
        <v>477</v>
      </c>
      <c r="G149" t="s">
        <v>477</v>
      </c>
      <c r="H149" t="s">
        <v>459</v>
      </c>
      <c r="I149" t="s">
        <v>477</v>
      </c>
      <c r="J149" t="s">
        <v>477</v>
      </c>
      <c r="N149" t="s">
        <v>596</v>
      </c>
      <c r="Q149" t="s">
        <v>459</v>
      </c>
      <c r="R149" t="s">
        <v>459</v>
      </c>
      <c r="S149" t="s">
        <v>477</v>
      </c>
    </row>
    <row r="150" spans="1:19" x14ac:dyDescent="0.2">
      <c r="A150" t="s">
        <v>504</v>
      </c>
      <c r="B150" t="s">
        <v>243</v>
      </c>
      <c r="C150" t="s">
        <v>642</v>
      </c>
      <c r="D150" t="s">
        <v>538</v>
      </c>
      <c r="E150" t="s">
        <v>539</v>
      </c>
      <c r="F150" t="s">
        <v>477</v>
      </c>
      <c r="G150" t="s">
        <v>477</v>
      </c>
      <c r="H150" t="s">
        <v>459</v>
      </c>
      <c r="I150" t="s">
        <v>477</v>
      </c>
      <c r="J150" t="s">
        <v>477</v>
      </c>
      <c r="Q150" t="s">
        <v>459</v>
      </c>
      <c r="R150" t="s">
        <v>459</v>
      </c>
      <c r="S150" t="s">
        <v>477</v>
      </c>
    </row>
    <row r="151" spans="1:19" x14ac:dyDescent="0.2">
      <c r="A151" t="s">
        <v>504</v>
      </c>
      <c r="B151" t="s">
        <v>289</v>
      </c>
      <c r="C151" t="s">
        <v>652</v>
      </c>
      <c r="D151" t="s">
        <v>538</v>
      </c>
      <c r="E151" t="s">
        <v>539</v>
      </c>
      <c r="F151" t="s">
        <v>477</v>
      </c>
      <c r="G151" t="s">
        <v>477</v>
      </c>
      <c r="H151" t="s">
        <v>459</v>
      </c>
      <c r="I151" t="s">
        <v>477</v>
      </c>
      <c r="J151" t="s">
        <v>477</v>
      </c>
      <c r="N151" t="s">
        <v>653</v>
      </c>
      <c r="Q151" t="s">
        <v>459</v>
      </c>
      <c r="R151" t="s">
        <v>459</v>
      </c>
      <c r="S151" t="s">
        <v>477</v>
      </c>
    </row>
    <row r="152" spans="1:19" x14ac:dyDescent="0.2">
      <c r="A152" t="s">
        <v>504</v>
      </c>
      <c r="B152" t="s">
        <v>290</v>
      </c>
      <c r="C152" t="s">
        <v>654</v>
      </c>
      <c r="D152" t="s">
        <v>538</v>
      </c>
      <c r="E152" t="s">
        <v>645</v>
      </c>
      <c r="F152" t="s">
        <v>477</v>
      </c>
      <c r="G152" t="s">
        <v>477</v>
      </c>
      <c r="H152" t="s">
        <v>477</v>
      </c>
      <c r="I152" t="s">
        <v>477</v>
      </c>
      <c r="J152" t="s">
        <v>477</v>
      </c>
      <c r="Q152" t="s">
        <v>459</v>
      </c>
      <c r="R152" t="s">
        <v>459</v>
      </c>
      <c r="S152" t="s">
        <v>477</v>
      </c>
    </row>
    <row r="153" spans="1:19" x14ac:dyDescent="0.2">
      <c r="A153" t="s">
        <v>504</v>
      </c>
      <c r="B153" t="s">
        <v>291</v>
      </c>
      <c r="C153" t="s">
        <v>655</v>
      </c>
      <c r="D153" t="s">
        <v>538</v>
      </c>
      <c r="E153" t="s">
        <v>539</v>
      </c>
      <c r="F153" t="s">
        <v>477</v>
      </c>
      <c r="G153" t="s">
        <v>477</v>
      </c>
      <c r="H153" t="s">
        <v>477</v>
      </c>
      <c r="I153" t="s">
        <v>477</v>
      </c>
      <c r="J153" t="s">
        <v>477</v>
      </c>
      <c r="Q153" t="s">
        <v>459</v>
      </c>
      <c r="R153" t="s">
        <v>459</v>
      </c>
      <c r="S153" t="s">
        <v>477</v>
      </c>
    </row>
    <row r="154" spans="1:19" x14ac:dyDescent="0.2">
      <c r="A154" t="s">
        <v>504</v>
      </c>
      <c r="B154" t="s">
        <v>292</v>
      </c>
      <c r="C154" t="s">
        <v>656</v>
      </c>
      <c r="D154" t="s">
        <v>538</v>
      </c>
      <c r="E154" t="s">
        <v>539</v>
      </c>
      <c r="F154" t="s">
        <v>477</v>
      </c>
      <c r="G154" t="s">
        <v>477</v>
      </c>
      <c r="H154" t="s">
        <v>477</v>
      </c>
      <c r="I154" t="s">
        <v>477</v>
      </c>
      <c r="J154" t="s">
        <v>477</v>
      </c>
      <c r="Q154" t="s">
        <v>459</v>
      </c>
      <c r="R154" t="s">
        <v>459</v>
      </c>
      <c r="S154" t="s">
        <v>477</v>
      </c>
    </row>
    <row r="155" spans="1:19" x14ac:dyDescent="0.2">
      <c r="A155" t="s">
        <v>504</v>
      </c>
      <c r="B155" t="s">
        <v>171</v>
      </c>
      <c r="C155" t="s">
        <v>610</v>
      </c>
      <c r="D155" t="s">
        <v>602</v>
      </c>
      <c r="E155" t="s">
        <v>539</v>
      </c>
      <c r="F155" t="s">
        <v>477</v>
      </c>
      <c r="G155" t="s">
        <v>477</v>
      </c>
      <c r="H155" t="s">
        <v>459</v>
      </c>
      <c r="I155" t="s">
        <v>477</v>
      </c>
      <c r="J155" t="s">
        <v>477</v>
      </c>
      <c r="N155" t="s">
        <v>603</v>
      </c>
      <c r="Q155" t="s">
        <v>459</v>
      </c>
      <c r="R155" t="s">
        <v>459</v>
      </c>
      <c r="S155" t="s">
        <v>477</v>
      </c>
    </row>
    <row r="156" spans="1:19" x14ac:dyDescent="0.2">
      <c r="A156" t="s">
        <v>504</v>
      </c>
      <c r="B156" t="s">
        <v>244</v>
      </c>
      <c r="C156" t="s">
        <v>643</v>
      </c>
      <c r="D156" t="s">
        <v>538</v>
      </c>
      <c r="E156" t="s">
        <v>539</v>
      </c>
      <c r="F156" t="s">
        <v>477</v>
      </c>
      <c r="G156" t="s">
        <v>477</v>
      </c>
      <c r="H156" t="s">
        <v>477</v>
      </c>
      <c r="I156" t="s">
        <v>477</v>
      </c>
      <c r="J156" t="s">
        <v>477</v>
      </c>
      <c r="Q156" t="s">
        <v>459</v>
      </c>
      <c r="R156" t="s">
        <v>459</v>
      </c>
      <c r="S156" t="s">
        <v>477</v>
      </c>
    </row>
    <row r="157" spans="1:19" x14ac:dyDescent="0.2">
      <c r="A157" t="s">
        <v>504</v>
      </c>
      <c r="B157" t="s">
        <v>293</v>
      </c>
      <c r="C157" t="s">
        <v>657</v>
      </c>
      <c r="D157" t="s">
        <v>535</v>
      </c>
      <c r="E157" t="s">
        <v>536</v>
      </c>
      <c r="F157" t="s">
        <v>477</v>
      </c>
      <c r="G157" t="s">
        <v>477</v>
      </c>
      <c r="H157" t="s">
        <v>459</v>
      </c>
      <c r="I157" t="s">
        <v>477</v>
      </c>
      <c r="J157" t="s">
        <v>477</v>
      </c>
      <c r="N157" t="s">
        <v>658</v>
      </c>
      <c r="Q157" t="s">
        <v>459</v>
      </c>
      <c r="R157" t="s">
        <v>459</v>
      </c>
      <c r="S157" t="s">
        <v>477</v>
      </c>
    </row>
    <row r="158" spans="1:19" x14ac:dyDescent="0.2">
      <c r="A158" t="s">
        <v>504</v>
      </c>
      <c r="B158" t="s">
        <v>73</v>
      </c>
      <c r="C158" t="s">
        <v>543</v>
      </c>
      <c r="D158" t="s">
        <v>538</v>
      </c>
      <c r="E158" t="s">
        <v>539</v>
      </c>
      <c r="F158" t="s">
        <v>477</v>
      </c>
      <c r="G158" t="s">
        <v>477</v>
      </c>
      <c r="H158" t="s">
        <v>459</v>
      </c>
      <c r="I158" t="s">
        <v>477</v>
      </c>
      <c r="J158" t="s">
        <v>477</v>
      </c>
      <c r="Q158" t="s">
        <v>459</v>
      </c>
      <c r="R158" t="s">
        <v>459</v>
      </c>
      <c r="S158" t="s">
        <v>477</v>
      </c>
    </row>
    <row r="159" spans="1:19" x14ac:dyDescent="0.2">
      <c r="A159" t="s">
        <v>504</v>
      </c>
      <c r="B159" t="s">
        <v>104</v>
      </c>
      <c r="C159" t="s">
        <v>598</v>
      </c>
      <c r="D159" t="s">
        <v>538</v>
      </c>
      <c r="E159" t="s">
        <v>539</v>
      </c>
      <c r="F159" t="s">
        <v>477</v>
      </c>
      <c r="G159" t="s">
        <v>477</v>
      </c>
      <c r="H159" t="s">
        <v>477</v>
      </c>
      <c r="I159" t="s">
        <v>477</v>
      </c>
      <c r="J159" t="s">
        <v>477</v>
      </c>
      <c r="Q159" t="s">
        <v>459</v>
      </c>
      <c r="R159" t="s">
        <v>459</v>
      </c>
      <c r="S159" t="s">
        <v>477</v>
      </c>
    </row>
    <row r="160" spans="1:19" x14ac:dyDescent="0.2">
      <c r="A160" t="s">
        <v>507</v>
      </c>
      <c r="B160" t="s">
        <v>70</v>
      </c>
      <c r="C160" t="s">
        <v>476</v>
      </c>
      <c r="D160" t="s">
        <v>535</v>
      </c>
      <c r="E160" t="s">
        <v>536</v>
      </c>
      <c r="F160" t="s">
        <v>459</v>
      </c>
      <c r="G160" t="s">
        <v>477</v>
      </c>
      <c r="H160" t="s">
        <v>477</v>
      </c>
      <c r="I160" t="s">
        <v>477</v>
      </c>
      <c r="J160" t="s">
        <v>477</v>
      </c>
      <c r="Q160" t="s">
        <v>459</v>
      </c>
      <c r="R160" t="s">
        <v>459</v>
      </c>
      <c r="S160" t="s">
        <v>477</v>
      </c>
    </row>
    <row r="161" spans="1:19" x14ac:dyDescent="0.2">
      <c r="A161" t="s">
        <v>507</v>
      </c>
      <c r="B161" t="s">
        <v>103</v>
      </c>
      <c r="C161" t="s">
        <v>595</v>
      </c>
      <c r="D161" t="s">
        <v>538</v>
      </c>
      <c r="E161" t="s">
        <v>539</v>
      </c>
      <c r="F161" t="s">
        <v>477</v>
      </c>
      <c r="G161" t="s">
        <v>477</v>
      </c>
      <c r="H161" t="s">
        <v>459</v>
      </c>
      <c r="I161" t="s">
        <v>477</v>
      </c>
      <c r="J161" t="s">
        <v>477</v>
      </c>
      <c r="N161" t="s">
        <v>596</v>
      </c>
      <c r="Q161" t="s">
        <v>459</v>
      </c>
      <c r="R161" t="s">
        <v>459</v>
      </c>
      <c r="S161" t="s">
        <v>477</v>
      </c>
    </row>
    <row r="162" spans="1:19" x14ac:dyDescent="0.2">
      <c r="A162" t="s">
        <v>507</v>
      </c>
      <c r="B162" t="s">
        <v>321</v>
      </c>
      <c r="C162" t="s">
        <v>659</v>
      </c>
      <c r="D162" t="s">
        <v>535</v>
      </c>
      <c r="E162" t="s">
        <v>536</v>
      </c>
      <c r="F162" t="s">
        <v>477</v>
      </c>
      <c r="G162" t="s">
        <v>477</v>
      </c>
      <c r="H162" t="s">
        <v>459</v>
      </c>
      <c r="I162" t="s">
        <v>477</v>
      </c>
      <c r="J162" t="s">
        <v>477</v>
      </c>
      <c r="N162" t="s">
        <v>477</v>
      </c>
      <c r="Q162" t="s">
        <v>459</v>
      </c>
      <c r="R162" t="s">
        <v>459</v>
      </c>
      <c r="S162" t="s">
        <v>477</v>
      </c>
    </row>
    <row r="163" spans="1:19" x14ac:dyDescent="0.2">
      <c r="A163" t="s">
        <v>507</v>
      </c>
      <c r="B163" t="s">
        <v>243</v>
      </c>
      <c r="C163" t="s">
        <v>642</v>
      </c>
      <c r="D163" t="s">
        <v>538</v>
      </c>
      <c r="E163" t="s">
        <v>539</v>
      </c>
      <c r="F163" t="s">
        <v>477</v>
      </c>
      <c r="G163" t="s">
        <v>477</v>
      </c>
      <c r="H163" t="s">
        <v>459</v>
      </c>
      <c r="I163" t="s">
        <v>477</v>
      </c>
      <c r="J163" t="s">
        <v>477</v>
      </c>
      <c r="Q163" t="s">
        <v>459</v>
      </c>
      <c r="R163" t="s">
        <v>459</v>
      </c>
      <c r="S163" t="s">
        <v>477</v>
      </c>
    </row>
    <row r="164" spans="1:19" x14ac:dyDescent="0.2">
      <c r="A164" t="s">
        <v>507</v>
      </c>
      <c r="B164" t="s">
        <v>171</v>
      </c>
      <c r="C164" t="s">
        <v>610</v>
      </c>
      <c r="D164" t="s">
        <v>602</v>
      </c>
      <c r="E164" t="s">
        <v>539</v>
      </c>
      <c r="F164" t="s">
        <v>477</v>
      </c>
      <c r="G164" t="s">
        <v>477</v>
      </c>
      <c r="H164" t="s">
        <v>459</v>
      </c>
      <c r="I164" t="s">
        <v>477</v>
      </c>
      <c r="J164" t="s">
        <v>477</v>
      </c>
      <c r="N164" t="s">
        <v>603</v>
      </c>
      <c r="Q164" t="s">
        <v>459</v>
      </c>
      <c r="R164" t="s">
        <v>459</v>
      </c>
      <c r="S164" t="s">
        <v>477</v>
      </c>
    </row>
    <row r="165" spans="1:19" x14ac:dyDescent="0.2">
      <c r="A165" t="s">
        <v>507</v>
      </c>
      <c r="B165" t="s">
        <v>322</v>
      </c>
      <c r="C165" t="s">
        <v>660</v>
      </c>
      <c r="D165" t="s">
        <v>538</v>
      </c>
      <c r="E165" t="s">
        <v>539</v>
      </c>
      <c r="F165" t="s">
        <v>477</v>
      </c>
      <c r="G165" t="s">
        <v>477</v>
      </c>
      <c r="H165" t="s">
        <v>477</v>
      </c>
      <c r="I165" t="s">
        <v>477</v>
      </c>
      <c r="J165" t="s">
        <v>477</v>
      </c>
      <c r="Q165" t="s">
        <v>459</v>
      </c>
      <c r="R165" t="s">
        <v>459</v>
      </c>
      <c r="S165" t="s">
        <v>477</v>
      </c>
    </row>
    <row r="166" spans="1:19" x14ac:dyDescent="0.2">
      <c r="A166" t="s">
        <v>507</v>
      </c>
      <c r="B166" t="s">
        <v>73</v>
      </c>
      <c r="C166" t="s">
        <v>543</v>
      </c>
      <c r="D166" t="s">
        <v>538</v>
      </c>
      <c r="E166" t="s">
        <v>539</v>
      </c>
      <c r="F166" t="s">
        <v>477</v>
      </c>
      <c r="G166" t="s">
        <v>477</v>
      </c>
      <c r="H166" t="s">
        <v>459</v>
      </c>
      <c r="I166" t="s">
        <v>477</v>
      </c>
      <c r="J166" t="s">
        <v>477</v>
      </c>
      <c r="Q166" t="s">
        <v>459</v>
      </c>
      <c r="R166" t="s">
        <v>459</v>
      </c>
      <c r="S166" t="s">
        <v>477</v>
      </c>
    </row>
    <row r="167" spans="1:19" x14ac:dyDescent="0.2">
      <c r="A167" t="s">
        <v>507</v>
      </c>
      <c r="B167" t="s">
        <v>323</v>
      </c>
      <c r="C167" t="s">
        <v>661</v>
      </c>
      <c r="D167" t="s">
        <v>538</v>
      </c>
      <c r="E167" t="s">
        <v>539</v>
      </c>
      <c r="F167" t="s">
        <v>477</v>
      </c>
      <c r="G167" t="s">
        <v>477</v>
      </c>
      <c r="H167" t="s">
        <v>459</v>
      </c>
      <c r="I167" t="s">
        <v>477</v>
      </c>
      <c r="J167" t="s">
        <v>477</v>
      </c>
      <c r="N167" t="s">
        <v>662</v>
      </c>
      <c r="Q167" t="s">
        <v>459</v>
      </c>
      <c r="R167" t="s">
        <v>459</v>
      </c>
      <c r="S167" t="s">
        <v>477</v>
      </c>
    </row>
    <row r="168" spans="1:19" x14ac:dyDescent="0.2">
      <c r="A168" t="s">
        <v>509</v>
      </c>
      <c r="B168" t="s">
        <v>70</v>
      </c>
      <c r="C168" t="s">
        <v>476</v>
      </c>
      <c r="D168" t="s">
        <v>535</v>
      </c>
      <c r="E168" t="s">
        <v>536</v>
      </c>
      <c r="F168" t="s">
        <v>459</v>
      </c>
      <c r="G168" t="s">
        <v>477</v>
      </c>
      <c r="H168" t="s">
        <v>477</v>
      </c>
      <c r="I168" t="s">
        <v>477</v>
      </c>
      <c r="J168" t="s">
        <v>477</v>
      </c>
      <c r="Q168" t="s">
        <v>459</v>
      </c>
      <c r="R168" t="s">
        <v>459</v>
      </c>
      <c r="S168" t="s">
        <v>477</v>
      </c>
    </row>
    <row r="169" spans="1:19" x14ac:dyDescent="0.2">
      <c r="A169" t="s">
        <v>509</v>
      </c>
      <c r="B169" t="s">
        <v>103</v>
      </c>
      <c r="C169" t="s">
        <v>595</v>
      </c>
      <c r="D169" t="s">
        <v>538</v>
      </c>
      <c r="E169" t="s">
        <v>539</v>
      </c>
      <c r="F169" t="s">
        <v>477</v>
      </c>
      <c r="G169" t="s">
        <v>477</v>
      </c>
      <c r="H169" t="s">
        <v>459</v>
      </c>
      <c r="I169" t="s">
        <v>477</v>
      </c>
      <c r="J169" t="s">
        <v>477</v>
      </c>
      <c r="N169" t="s">
        <v>596</v>
      </c>
      <c r="Q169" t="s">
        <v>459</v>
      </c>
      <c r="R169" t="s">
        <v>459</v>
      </c>
      <c r="S169" t="s">
        <v>477</v>
      </c>
    </row>
    <row r="170" spans="1:19" x14ac:dyDescent="0.2">
      <c r="A170" t="s">
        <v>509</v>
      </c>
      <c r="B170" t="s">
        <v>322</v>
      </c>
      <c r="C170" t="s">
        <v>660</v>
      </c>
      <c r="D170" t="s">
        <v>538</v>
      </c>
      <c r="E170" t="s">
        <v>539</v>
      </c>
      <c r="F170" t="s">
        <v>477</v>
      </c>
      <c r="G170" t="s">
        <v>477</v>
      </c>
      <c r="H170" t="s">
        <v>477</v>
      </c>
      <c r="I170" t="s">
        <v>477</v>
      </c>
      <c r="J170" t="s">
        <v>477</v>
      </c>
      <c r="Q170" t="s">
        <v>459</v>
      </c>
      <c r="R170" t="s">
        <v>459</v>
      </c>
      <c r="S170" t="s">
        <v>477</v>
      </c>
    </row>
    <row r="171" spans="1:19" x14ac:dyDescent="0.2">
      <c r="A171" t="s">
        <v>509</v>
      </c>
      <c r="B171" t="s">
        <v>73</v>
      </c>
      <c r="C171" t="s">
        <v>543</v>
      </c>
      <c r="D171" t="s">
        <v>538</v>
      </c>
      <c r="E171" t="s">
        <v>539</v>
      </c>
      <c r="F171" t="s">
        <v>477</v>
      </c>
      <c r="G171" t="s">
        <v>477</v>
      </c>
      <c r="H171" t="s">
        <v>459</v>
      </c>
      <c r="I171" t="s">
        <v>477</v>
      </c>
      <c r="J171" t="s">
        <v>477</v>
      </c>
      <c r="Q171" t="s">
        <v>459</v>
      </c>
      <c r="R171" t="s">
        <v>459</v>
      </c>
      <c r="S171" t="s">
        <v>477</v>
      </c>
    </row>
    <row r="172" spans="1:19" x14ac:dyDescent="0.2">
      <c r="A172" t="s">
        <v>512</v>
      </c>
      <c r="B172" t="s">
        <v>70</v>
      </c>
      <c r="C172" t="s">
        <v>476</v>
      </c>
      <c r="D172" t="s">
        <v>535</v>
      </c>
      <c r="E172" t="s">
        <v>536</v>
      </c>
      <c r="F172" t="s">
        <v>459</v>
      </c>
      <c r="G172" t="s">
        <v>477</v>
      </c>
      <c r="H172" t="s">
        <v>477</v>
      </c>
      <c r="I172" t="s">
        <v>477</v>
      </c>
      <c r="J172" t="s">
        <v>477</v>
      </c>
      <c r="Q172" t="s">
        <v>459</v>
      </c>
      <c r="R172" t="s">
        <v>459</v>
      </c>
      <c r="S172" t="s">
        <v>477</v>
      </c>
    </row>
    <row r="173" spans="1:19" x14ac:dyDescent="0.2">
      <c r="A173" t="s">
        <v>512</v>
      </c>
      <c r="B173" t="s">
        <v>103</v>
      </c>
      <c r="C173" t="s">
        <v>595</v>
      </c>
      <c r="D173" t="s">
        <v>538</v>
      </c>
      <c r="E173" t="s">
        <v>539</v>
      </c>
      <c r="F173" t="s">
        <v>477</v>
      </c>
      <c r="G173" t="s">
        <v>477</v>
      </c>
      <c r="H173" t="s">
        <v>459</v>
      </c>
      <c r="I173" t="s">
        <v>477</v>
      </c>
      <c r="J173" t="s">
        <v>477</v>
      </c>
      <c r="N173" t="s">
        <v>596</v>
      </c>
      <c r="Q173" t="s">
        <v>459</v>
      </c>
      <c r="R173" t="s">
        <v>459</v>
      </c>
      <c r="S173" t="s">
        <v>477</v>
      </c>
    </row>
    <row r="174" spans="1:19" x14ac:dyDescent="0.2">
      <c r="A174" t="s">
        <v>512</v>
      </c>
      <c r="B174" t="s">
        <v>73</v>
      </c>
      <c r="C174" t="s">
        <v>543</v>
      </c>
      <c r="D174" t="s">
        <v>538</v>
      </c>
      <c r="E174" t="s">
        <v>539</v>
      </c>
      <c r="F174" t="s">
        <v>477</v>
      </c>
      <c r="G174" t="s">
        <v>477</v>
      </c>
      <c r="H174" t="s">
        <v>459</v>
      </c>
      <c r="I174" t="s">
        <v>477</v>
      </c>
      <c r="J174" t="s">
        <v>477</v>
      </c>
      <c r="Q174" t="s">
        <v>459</v>
      </c>
      <c r="R174" t="s">
        <v>459</v>
      </c>
      <c r="S174" t="s">
        <v>477</v>
      </c>
    </row>
    <row r="175" spans="1:19" x14ac:dyDescent="0.2">
      <c r="A175" t="s">
        <v>514</v>
      </c>
      <c r="B175" t="s">
        <v>70</v>
      </c>
      <c r="C175" t="s">
        <v>476</v>
      </c>
      <c r="D175" t="s">
        <v>535</v>
      </c>
      <c r="E175" t="s">
        <v>536</v>
      </c>
      <c r="F175" t="s">
        <v>459</v>
      </c>
      <c r="G175" t="s">
        <v>477</v>
      </c>
      <c r="H175" t="s">
        <v>477</v>
      </c>
      <c r="I175" t="s">
        <v>477</v>
      </c>
      <c r="J175" t="s">
        <v>477</v>
      </c>
      <c r="Q175" t="s">
        <v>459</v>
      </c>
      <c r="R175" t="s">
        <v>459</v>
      </c>
      <c r="S175" t="s">
        <v>477</v>
      </c>
    </row>
    <row r="176" spans="1:19" x14ac:dyDescent="0.2">
      <c r="A176" t="s">
        <v>514</v>
      </c>
      <c r="B176" t="s">
        <v>357</v>
      </c>
      <c r="C176" t="s">
        <v>663</v>
      </c>
      <c r="D176" t="s">
        <v>538</v>
      </c>
      <c r="E176" t="s">
        <v>539</v>
      </c>
      <c r="F176" t="s">
        <v>477</v>
      </c>
      <c r="G176" t="s">
        <v>477</v>
      </c>
      <c r="H176" t="s">
        <v>459</v>
      </c>
      <c r="I176" t="s">
        <v>477</v>
      </c>
      <c r="J176" t="s">
        <v>477</v>
      </c>
      <c r="Q176" t="s">
        <v>459</v>
      </c>
      <c r="R176" t="s">
        <v>459</v>
      </c>
      <c r="S176" t="s">
        <v>477</v>
      </c>
    </row>
    <row r="177" spans="1:19" x14ac:dyDescent="0.2">
      <c r="A177" t="s">
        <v>514</v>
      </c>
      <c r="B177" t="s">
        <v>73</v>
      </c>
      <c r="C177" t="s">
        <v>543</v>
      </c>
      <c r="D177" t="s">
        <v>538</v>
      </c>
      <c r="E177" t="s">
        <v>539</v>
      </c>
      <c r="F177" t="s">
        <v>477</v>
      </c>
      <c r="G177" t="s">
        <v>477</v>
      </c>
      <c r="H177" t="s">
        <v>459</v>
      </c>
      <c r="I177" t="s">
        <v>477</v>
      </c>
      <c r="J177" t="s">
        <v>477</v>
      </c>
      <c r="Q177" t="s">
        <v>459</v>
      </c>
      <c r="R177" t="s">
        <v>459</v>
      </c>
      <c r="S177" t="s">
        <v>477</v>
      </c>
    </row>
  </sheetData>
  <pageMargins left="0.35" right="0.35" top="0.6" bottom="0.6" header="0.25" footer="0.25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>
    <tabColor rgb="FF9CA3AF"/>
  </sheetPr>
  <dimension ref="A1:F1"/>
  <sheetViews>
    <sheetView workbookViewId="0"/>
  </sheetViews>
  <sheetFormatPr baseColWidth="10" defaultColWidth="8.83203125" defaultRowHeight="15" x14ac:dyDescent="0.2"/>
  <sheetData>
    <row r="1" spans="1:6" x14ac:dyDescent="0.2">
      <c r="A1" s="10" t="s">
        <v>464</v>
      </c>
      <c r="B1" s="10" t="s">
        <v>518</v>
      </c>
      <c r="C1" s="10" t="s">
        <v>664</v>
      </c>
      <c r="D1" s="10" t="s">
        <v>665</v>
      </c>
      <c r="E1" s="10" t="s">
        <v>666</v>
      </c>
      <c r="F1" s="10" t="s">
        <v>667</v>
      </c>
    </row>
  </sheetData>
  <pageMargins left="0.35" right="0.35" top="0.6" bottom="0.6" header="0.25" footer="0.25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>
    <tabColor rgb="FF9CA3AF"/>
  </sheetPr>
  <dimension ref="A1:F1"/>
  <sheetViews>
    <sheetView workbookViewId="0"/>
  </sheetViews>
  <sheetFormatPr baseColWidth="10" defaultColWidth="8.83203125" defaultRowHeight="15" x14ac:dyDescent="0.2"/>
  <sheetData>
    <row r="1" spans="1:6" x14ac:dyDescent="0.2">
      <c r="A1" s="10" t="s">
        <v>464</v>
      </c>
      <c r="B1" s="10" t="s">
        <v>668</v>
      </c>
      <c r="C1" s="10" t="s">
        <v>669</v>
      </c>
      <c r="D1" s="10" t="s">
        <v>670</v>
      </c>
      <c r="E1" s="10" t="s">
        <v>534</v>
      </c>
      <c r="F1" s="10" t="s">
        <v>671</v>
      </c>
    </row>
  </sheetData>
  <pageMargins left="0.35" right="0.35" top="0.6" bottom="0.6" header="0.25" footer="0.25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>
    <tabColor rgb="FF9CA3AF"/>
  </sheetPr>
  <dimension ref="A1:H1"/>
  <sheetViews>
    <sheetView workbookViewId="0"/>
  </sheetViews>
  <sheetFormatPr baseColWidth="10" defaultColWidth="8.83203125" defaultRowHeight="15" x14ac:dyDescent="0.2"/>
  <cols>
    <col min="1" max="1" width="20" customWidth="1"/>
    <col min="2" max="2" width="16" customWidth="1"/>
    <col min="3" max="3" width="18" customWidth="1"/>
    <col min="4" max="5" width="12" customWidth="1"/>
    <col min="6" max="6" width="18" customWidth="1"/>
    <col min="7" max="8" width="30" customWidth="1"/>
  </cols>
  <sheetData>
    <row r="1" spans="1:8" x14ac:dyDescent="0.2">
      <c r="A1" s="1" t="s">
        <v>672</v>
      </c>
      <c r="B1" s="1" t="s">
        <v>673</v>
      </c>
      <c r="C1" s="1" t="s">
        <v>464</v>
      </c>
      <c r="D1" s="1" t="s">
        <v>674</v>
      </c>
      <c r="E1" s="1" t="s">
        <v>675</v>
      </c>
      <c r="F1" s="1" t="s">
        <v>518</v>
      </c>
      <c r="G1" s="1" t="s">
        <v>676</v>
      </c>
      <c r="H1" s="1" t="s">
        <v>677</v>
      </c>
    </row>
  </sheetData>
  <pageMargins left="0.35" right="0.35" top="0.6" bottom="0.6" header="0.25" footer="0.2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32</vt:i4>
      </vt:variant>
      <vt:variant>
        <vt:lpstr>Rangos con nombre</vt:lpstr>
      </vt:variant>
      <vt:variant>
        <vt:i4>55</vt:i4>
      </vt:variant>
    </vt:vector>
  </HeadingPairs>
  <TitlesOfParts>
    <vt:vector size="87" baseType="lpstr">
      <vt:lpstr>Home</vt:lpstr>
      <vt:lpstr>Dashboard</vt:lpstr>
      <vt:lpstr>Productos</vt:lpstr>
      <vt:lpstr>Stock por ubicacion</vt:lpstr>
      <vt:lpstr>Transacciones</vt:lpstr>
      <vt:lpstr>Ordenes de servicio</vt:lpstr>
      <vt:lpstr>Detalle de orden de servicio</vt:lpstr>
      <vt:lpstr>Ordenes de compra</vt:lpstr>
      <vt:lpstr>Detalle de orden de compra</vt:lpstr>
      <vt:lpstr>Conteos fisicos</vt:lpstr>
      <vt:lpstr>Detalle de conteo fisico</vt:lpstr>
      <vt:lpstr>Clientes</vt:lpstr>
      <vt:lpstr>Vehiculos</vt:lpstr>
      <vt:lpstr>Proveedores</vt:lpstr>
      <vt:lpstr>Ubicaciones</vt:lpstr>
      <vt:lpstr>Categorias de producto</vt:lpstr>
      <vt:lpstr>Marcas</vt:lpstr>
      <vt:lpstr>Unidades</vt:lpstr>
      <vt:lpstr>Rpt_Stock_Categoria</vt:lpstr>
      <vt:lpstr>Rpt_Valor_Inventario</vt:lpstr>
      <vt:lpstr>Rpt_Stock_Bajo</vt:lpstr>
      <vt:lpstr>Rpt_Movimientos</vt:lpstr>
      <vt:lpstr>Rpt_Rotacion</vt:lpstr>
      <vt:lpstr>Rpt_Conteo_Fisico</vt:lpstr>
      <vt:lpstr>Rpt_Antiguedad_Caducidad</vt:lpstr>
      <vt:lpstr>Rpt_DOT</vt:lpstr>
      <vt:lpstr>Ana_Movimientos</vt:lpstr>
      <vt:lpstr>Ana_Inventario</vt:lpstr>
      <vt:lpstr>Ana_Compras</vt:lpstr>
      <vt:lpstr>Ana_Servicios</vt:lpstr>
      <vt:lpstr>Help</vt:lpstr>
      <vt:lpstr>_audit_log</vt:lpstr>
      <vt:lpstr>Ana_Compras!Área_de_impresión</vt:lpstr>
      <vt:lpstr>Ana_Inventario!Área_de_impresión</vt:lpstr>
      <vt:lpstr>Ana_Movimientos!Área_de_impresión</vt:lpstr>
      <vt:lpstr>Ana_Servicios!Área_de_impresión</vt:lpstr>
      <vt:lpstr>'Categorias de producto'!Área_de_impresión</vt:lpstr>
      <vt:lpstr>Clientes!Área_de_impresión</vt:lpstr>
      <vt:lpstr>'Conteos fisicos'!Área_de_impresión</vt:lpstr>
      <vt:lpstr>Dashboard!Área_de_impresión</vt:lpstr>
      <vt:lpstr>'Detalle de conteo fisico'!Área_de_impresión</vt:lpstr>
      <vt:lpstr>'Detalle de orden de compra'!Área_de_impresión</vt:lpstr>
      <vt:lpstr>'Detalle de orden de servicio'!Área_de_impresión</vt:lpstr>
      <vt:lpstr>Help!Área_de_impresión</vt:lpstr>
      <vt:lpstr>Home!Área_de_impresión</vt:lpstr>
      <vt:lpstr>Marcas!Área_de_impresión</vt:lpstr>
      <vt:lpstr>'Ordenes de compra'!Área_de_impresión</vt:lpstr>
      <vt:lpstr>'Ordenes de servicio'!Área_de_impresión</vt:lpstr>
      <vt:lpstr>Productos!Área_de_impresión</vt:lpstr>
      <vt:lpstr>Proveedores!Área_de_impresión</vt:lpstr>
      <vt:lpstr>Rpt_Antiguedad_Caducidad!Área_de_impresión</vt:lpstr>
      <vt:lpstr>Rpt_Conteo_Fisico!Área_de_impresión</vt:lpstr>
      <vt:lpstr>Rpt_DOT!Área_de_impresión</vt:lpstr>
      <vt:lpstr>Rpt_Movimientos!Área_de_impresión</vt:lpstr>
      <vt:lpstr>Rpt_Rotacion!Área_de_impresión</vt:lpstr>
      <vt:lpstr>Rpt_Stock_Bajo!Área_de_impresión</vt:lpstr>
      <vt:lpstr>Rpt_Stock_Categoria!Área_de_impresión</vt:lpstr>
      <vt:lpstr>Rpt_Valor_Inventario!Área_de_impresión</vt:lpstr>
      <vt:lpstr>'Stock por ubicacion'!Área_de_impresión</vt:lpstr>
      <vt:lpstr>Transacciones!Área_de_impresión</vt:lpstr>
      <vt:lpstr>Ubicaciones!Área_de_impresión</vt:lpstr>
      <vt:lpstr>Unidades!Área_de_impresión</vt:lpstr>
      <vt:lpstr>Vehiculos!Área_de_impresión</vt:lpstr>
      <vt:lpstr>'Categorias de producto'!Títulos_a_imprimir</vt:lpstr>
      <vt:lpstr>Clientes!Títulos_a_imprimir</vt:lpstr>
      <vt:lpstr>'Conteos fisicos'!Títulos_a_imprimir</vt:lpstr>
      <vt:lpstr>'Detalle de conteo fisico'!Títulos_a_imprimir</vt:lpstr>
      <vt:lpstr>'Detalle de orden de compra'!Títulos_a_imprimir</vt:lpstr>
      <vt:lpstr>'Detalle de orden de servicio'!Títulos_a_imprimir</vt:lpstr>
      <vt:lpstr>Marcas!Títulos_a_imprimir</vt:lpstr>
      <vt:lpstr>'Ordenes de compra'!Títulos_a_imprimir</vt:lpstr>
      <vt:lpstr>'Ordenes de servicio'!Títulos_a_imprimir</vt:lpstr>
      <vt:lpstr>Productos!Títulos_a_imprimir</vt:lpstr>
      <vt:lpstr>Proveedores!Títulos_a_imprimir</vt:lpstr>
      <vt:lpstr>Rpt_Antiguedad_Caducidad!Títulos_a_imprimir</vt:lpstr>
      <vt:lpstr>Rpt_Conteo_Fisico!Títulos_a_imprimir</vt:lpstr>
      <vt:lpstr>Rpt_DOT!Títulos_a_imprimir</vt:lpstr>
      <vt:lpstr>Rpt_Movimientos!Títulos_a_imprimir</vt:lpstr>
      <vt:lpstr>Rpt_Rotacion!Títulos_a_imprimir</vt:lpstr>
      <vt:lpstr>Rpt_Stock_Bajo!Títulos_a_imprimir</vt:lpstr>
      <vt:lpstr>Rpt_Stock_Categoria!Títulos_a_imprimir</vt:lpstr>
      <vt:lpstr>Rpt_Valor_Inventario!Títulos_a_imprimir</vt:lpstr>
      <vt:lpstr>'Stock por ubicacion'!Títulos_a_imprimir</vt:lpstr>
      <vt:lpstr>Transacciones!Títulos_a_imprimir</vt:lpstr>
      <vt:lpstr>Ubicaciones!Títulos_a_imprimir</vt:lpstr>
      <vt:lpstr>Unidades!Títulos_a_imprimir</vt:lpstr>
      <vt:lpstr>Vehiculos!Títulos_a_imprimir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Llantera Aceites Inventario</dc:title>
  <dc:creator>SQLForge Excel target</dc:creator>
  <cp:lastModifiedBy>Angel Salazar</cp:lastModifiedBy>
  <dcterms:created xsi:type="dcterms:W3CDTF">2026-06-16T21:52:01Z</dcterms:created>
  <dcterms:modified xsi:type="dcterms:W3CDTF">2026-06-17T02:57:17Z</dcterms:modified>
</cp:coreProperties>
</file>