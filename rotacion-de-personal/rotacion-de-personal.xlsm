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SSDWD2T/gic-projects/excel/rotacion-de-personal/"/>
    </mc:Choice>
  </mc:AlternateContent>
  <xr:revisionPtr revIDLastSave="0" documentId="13_ncr:1_{D5CA7664-D9FC-6140-9CA6-98624F3EDB5D}" xr6:coauthVersionLast="47" xr6:coauthVersionMax="47" xr10:uidLastSave="{00000000-0000-0000-0000-000000000000}"/>
  <bookViews>
    <workbookView xWindow="8760" yWindow="23120" windowWidth="29200" windowHeight="19720" activeTab="5" xr2:uid="{00000000-000D-0000-FFFF-FFFF00000000}"/>
  </bookViews>
  <sheets>
    <sheet name="Home" sheetId="1" r:id="rId1"/>
    <sheet name="Dashboard" sheetId="2" r:id="rId2"/>
    <sheet name="Empleados" sheetId="3" r:id="rId3"/>
    <sheet name="Rotación por Departamento" sheetId="4" r:id="rId4"/>
    <sheet name="Rotación por Tipo de Salida" sheetId="5" r:id="rId5"/>
    <sheet name="Rotación por Motivo de Salida" sheetId="6" r:id="rId6"/>
    <sheet name="Rotación por Puesto" sheetId="7" r:id="rId7"/>
    <sheet name="Rotación por Rango de Antigüeda" sheetId="8" r:id="rId8"/>
    <sheet name="Instrucciones de Uso" sheetId="9" r:id="rId9"/>
    <sheet name="Help" sheetId="10" r:id="rId10"/>
    <sheet name="_meta_settings" sheetId="11" state="veryHidden" r:id="rId11"/>
    <sheet name="_meta_reports" sheetId="12" state="veryHidden" r:id="rId12"/>
    <sheet name="_meta_entities" sheetId="13" state="veryHidden" r:id="rId13"/>
    <sheet name="_meta_columns" sheetId="14" state="veryHidden" r:id="rId14"/>
    <sheet name="_meta_validation" sheetId="15" state="veryHidden" r:id="rId15"/>
    <sheet name="_meta_workflow" sheetId="16" state="veryHidden" r:id="rId16"/>
    <sheet name="_meta_business_rules" sheetId="17" state="veryHidden" r:id="rId17"/>
    <sheet name="_audit_log" sheetId="18" state="hidden" r:id="rId18"/>
  </sheets>
  <functionGroups builtInGroupCount="19"/>
  <definedNames>
    <definedName name="_xlnm.Print_Area" localSheetId="1">Dashboard!$A$1:$I$36</definedName>
    <definedName name="_xlnm.Print_Area" localSheetId="2">Empleados!$A$1:$N$11</definedName>
    <definedName name="_xlnm.Print_Area" localSheetId="9">Help!$A$1:$C$13</definedName>
    <definedName name="_xlnm.Print_Area" localSheetId="0">Home!$A$1:$I$14</definedName>
    <definedName name="_xlnm.Print_Area" localSheetId="8">'Instrucciones de Uso'!$A$1:$C$9</definedName>
    <definedName name="_xlnm.Print_Area" localSheetId="3">'Rotación por Departamento'!$A$1:$E$20</definedName>
    <definedName name="_xlnm.Print_Area" localSheetId="5">'Rotación por Motivo de Salida'!$A$1:$E$20</definedName>
    <definedName name="_xlnm.Print_Area" localSheetId="6">'Rotación por Puesto'!$A$1:$E$20</definedName>
    <definedName name="_xlnm.Print_Area" localSheetId="7">'Rotación por Rango de Antigüeda'!$A$1:$E$20</definedName>
    <definedName name="_xlnm.Print_Area" localSheetId="4">'Rotación por Tipo de Salida'!$A$1:$E$20</definedName>
    <definedName name="_xlnm.Print_Titles" localSheetId="2">Empleados!$1:$1</definedName>
  </definedNames>
  <calcPr calcId="191029"/>
  <pivotCaches>
    <pivotCache cacheId="391" r:id="rId19"/>
    <pivotCache cacheId="395" r:id="rId20"/>
    <pivotCache cacheId="399" r:id="rId21"/>
    <pivotCache cacheId="403" r:id="rId22"/>
    <pivotCache cacheId="407" r:id="rId2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1" i="3" l="1"/>
  <c r="K11" i="3"/>
  <c r="J11" i="3"/>
  <c r="G11" i="3"/>
  <c r="M10" i="3"/>
  <c r="K10" i="3"/>
  <c r="J10" i="3"/>
  <c r="G10" i="3"/>
  <c r="F6" i="2" s="1"/>
  <c r="M9" i="3"/>
  <c r="K9" i="3"/>
  <c r="J9" i="3"/>
  <c r="G9" i="3"/>
  <c r="M8" i="3"/>
  <c r="K8" i="3"/>
  <c r="J8" i="3"/>
  <c r="G8" i="3"/>
  <c r="M7" i="3"/>
  <c r="K7" i="3"/>
  <c r="J7" i="3"/>
  <c r="G7" i="3"/>
  <c r="M6" i="3"/>
  <c r="K6" i="3"/>
  <c r="J6" i="3"/>
  <c r="G6" i="3"/>
  <c r="M5" i="3"/>
  <c r="K5" i="3"/>
  <c r="J5" i="3"/>
  <c r="G5" i="3"/>
  <c r="M4" i="3"/>
  <c r="K4" i="3"/>
  <c r="J4" i="3"/>
  <c r="G4" i="3"/>
  <c r="M3" i="3"/>
  <c r="K3" i="3"/>
  <c r="J3" i="3"/>
  <c r="G3" i="3"/>
  <c r="M2" i="3"/>
  <c r="K2" i="3"/>
  <c r="J2" i="3"/>
  <c r="G2" i="3"/>
  <c r="K35" i="2"/>
  <c r="L35" i="2" s="1"/>
  <c r="K34" i="2"/>
  <c r="L34" i="2" s="1"/>
  <c r="K33" i="2"/>
  <c r="L33" i="2" s="1"/>
  <c r="K32" i="2"/>
  <c r="L32" i="2" s="1"/>
  <c r="K31" i="2"/>
  <c r="L31" i="2" s="1"/>
  <c r="K30" i="2"/>
  <c r="L30" i="2" s="1"/>
  <c r="L29" i="2"/>
  <c r="K29" i="2"/>
  <c r="K28" i="2"/>
  <c r="L28" i="2" s="1"/>
  <c r="N20" i="2"/>
  <c r="O20" i="2" s="1"/>
  <c r="N19" i="2"/>
  <c r="O19" i="2" s="1"/>
  <c r="N18" i="2"/>
  <c r="O18" i="2" s="1"/>
  <c r="N17" i="2"/>
  <c r="O17" i="2" s="1"/>
  <c r="N16" i="2"/>
  <c r="O16" i="2" s="1"/>
  <c r="N15" i="2"/>
  <c r="O15" i="2" s="1"/>
  <c r="N14" i="2"/>
  <c r="O14" i="2" s="1"/>
  <c r="N13" i="2"/>
  <c r="O13" i="2" s="1"/>
  <c r="B6" i="2"/>
  <c r="B7" i="1"/>
  <c r="L8" i="3" l="1"/>
  <c r="L11" i="3"/>
  <c r="H6" i="2"/>
  <c r="N28" i="2"/>
  <c r="O28" i="2" s="1"/>
  <c r="D6" i="2"/>
  <c r="L7" i="3"/>
  <c r="L5" i="3"/>
  <c r="L4" i="3"/>
  <c r="L6" i="3"/>
  <c r="L9" i="3"/>
  <c r="L10" i="3"/>
  <c r="L3" i="3"/>
  <c r="L2" i="3"/>
  <c r="N30" i="2"/>
  <c r="O30" i="2" s="1"/>
  <c r="N33" i="2"/>
  <c r="O33" i="2" s="1"/>
  <c r="N31" i="2"/>
  <c r="O31" i="2" s="1"/>
  <c r="N34" i="2"/>
  <c r="O34" i="2" s="1"/>
  <c r="B9" i="2"/>
  <c r="N29" i="2"/>
  <c r="O29" i="2" s="1"/>
  <c r="N32" i="2"/>
  <c r="O32" i="2" s="1"/>
  <c r="N35" i="2"/>
  <c r="O35" i="2" s="1"/>
  <c r="K20" i="2" l="1"/>
  <c r="L20" i="2" s="1"/>
  <c r="K19" i="2"/>
  <c r="L19" i="2" s="1"/>
  <c r="K14" i="2"/>
  <c r="L14" i="2" s="1"/>
  <c r="K15" i="2"/>
  <c r="L15" i="2" s="1"/>
  <c r="K16" i="2"/>
  <c r="L16" i="2" s="1"/>
  <c r="K18" i="2"/>
  <c r="L18" i="2" s="1"/>
  <c r="K17" i="2"/>
  <c r="L17" i="2" s="1"/>
  <c r="K13" i="2"/>
  <c r="L13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2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  <comment ref="G1" authorId="0" shapeId="0" xr:uid="{00000000-0006-0000-0200-000002000000}">
      <text>
        <r>
          <rPr>
            <b/>
            <sz val="9"/>
            <color indexed="81"/>
            <rFont val="Calibri"/>
            <family val="2"/>
          </rPr>
          <t>Calculated column.</t>
        </r>
      </text>
    </comment>
    <comment ref="J1" authorId="0" shapeId="0" xr:uid="{00000000-0006-0000-0200-000003000000}">
      <text>
        <r>
          <rPr>
            <b/>
            <sz val="9"/>
            <color indexed="81"/>
            <rFont val="Calibri"/>
            <family val="2"/>
          </rPr>
          <t>Calculated column.</t>
        </r>
      </text>
    </comment>
    <comment ref="K1" authorId="0" shapeId="0" xr:uid="{00000000-0006-0000-0200-000004000000}">
      <text>
        <r>
          <rPr>
            <b/>
            <sz val="9"/>
            <color indexed="81"/>
            <rFont val="Calibri"/>
            <family val="2"/>
          </rPr>
          <t>Calculated column.</t>
        </r>
      </text>
    </comment>
    <comment ref="L1" authorId="0" shapeId="0" xr:uid="{00000000-0006-0000-0200-000005000000}">
      <text>
        <r>
          <rPr>
            <b/>
            <sz val="9"/>
            <color indexed="81"/>
            <rFont val="Calibri"/>
            <family val="2"/>
          </rPr>
          <t>Calculated column.</t>
        </r>
      </text>
    </comment>
    <comment ref="M1" authorId="0" shapeId="0" xr:uid="{00000000-0006-0000-0200-000006000000}">
      <text>
        <r>
          <rPr>
            <b/>
            <sz val="9"/>
            <color indexed="81"/>
            <rFont val="Calibri"/>
            <family val="2"/>
          </rPr>
          <t>Calculated column.</t>
        </r>
      </text>
    </comment>
  </commentList>
</comments>
</file>

<file path=xl/sharedStrings.xml><?xml version="1.0" encoding="utf-8"?>
<sst xmlns="http://schemas.openxmlformats.org/spreadsheetml/2006/main" count="492" uniqueCount="242">
  <si>
    <t>Rotación de Personal</t>
  </si>
  <si>
    <t>Generated by SQLForge on 2026-06-20 — macro-enabled app</t>
  </si>
  <si>
    <t>Data</t>
  </si>
  <si>
    <t>Empleados</t>
  </si>
  <si>
    <t>records</t>
  </si>
  <si>
    <t>Pages</t>
  </si>
  <si>
    <t>Dashboard</t>
  </si>
  <si>
    <t>Rotación por Departamento</t>
  </si>
  <si>
    <t>Rotación por Tipo de Salida</t>
  </si>
  <si>
    <t>Rotación por Motivo de Salida</t>
  </si>
  <si>
    <t>Rotación por Puesto</t>
  </si>
  <si>
    <t>Rotación por Rango de Antigüedad</t>
  </si>
  <si>
    <t>Instrucciones de Uso</t>
  </si>
  <si>
    <t>Help</t>
  </si>
  <si>
    <t>If buttons and forms are missing, enable macros: close the file, right-click it in Explorer, Properties, check "Unblock", then reopen.</t>
  </si>
  <si>
    <t>Dashboard de Rotación de Personal</t>
  </si>
  <si>
    <t>Snapshot values from the generated data sheets.</t>
  </si>
  <si>
    <t>Total Empleados</t>
  </si>
  <si>
    <t>Empleados Activos</t>
  </si>
  <si>
    <t>Total Bajas</t>
  </si>
  <si>
    <t>Tasa de Rotación (%)</t>
  </si>
  <si>
    <t>Promedio Antigüedad Salidas (meses)</t>
  </si>
  <si>
    <t>Distribución por Rango de Antigüedad</t>
  </si>
  <si>
    <t>Value</t>
  </si>
  <si>
    <t>Empleados por Departamento</t>
  </si>
  <si>
    <t>Distribución por Motivo de Salida</t>
  </si>
  <si>
    <t>Bajas por Mes</t>
  </si>
  <si>
    <t>← Back to Home</t>
  </si>
  <si>
    <t>Id</t>
  </si>
  <si>
    <t>Nombre Completo</t>
  </si>
  <si>
    <t>Departamento</t>
  </si>
  <si>
    <t>Puesto / Cargo</t>
  </si>
  <si>
    <t>Fecha de Ingreso</t>
  </si>
  <si>
    <t>Fecha de Salida</t>
  </si>
  <si>
    <t>Estado</t>
  </si>
  <si>
    <t>Tipo de Salida</t>
  </si>
  <si>
    <t>Motivo de Salida</t>
  </si>
  <si>
    <t>Antigüedad (meses)</t>
  </si>
  <si>
    <t>Antigüedad (años)</t>
  </si>
  <si>
    <t>Rango de Antigüedad</t>
  </si>
  <si>
    <t>Mes de Salida</t>
  </si>
  <si>
    <t>Observaciones</t>
  </si>
  <si>
    <t>Ana García López</t>
  </si>
  <si>
    <t>Administración</t>
  </si>
  <si>
    <t>Asistente Administrativo</t>
  </si>
  <si>
    <t>Lucía Fernández Soto</t>
  </si>
  <si>
    <t>Operaciones</t>
  </si>
  <si>
    <t>Operario</t>
  </si>
  <si>
    <t>María Torres Vega</t>
  </si>
  <si>
    <t>Tecnología</t>
  </si>
  <si>
    <t>Desarrolladora</t>
  </si>
  <si>
    <t>Fernando Díaz Paredes</t>
  </si>
  <si>
    <t>Marketing</t>
  </si>
  <si>
    <t>Analista de Marketing</t>
  </si>
  <si>
    <t>Carlos Méndez Ruiz</t>
  </si>
  <si>
    <t>Ventas</t>
  </si>
  <si>
    <t>Ejecutivo de Ventas</t>
  </si>
  <si>
    <t>Voluntaria</t>
  </si>
  <si>
    <t>Mejor oferta laboral</t>
  </si>
  <si>
    <t>Buen desempeño general</t>
  </si>
  <si>
    <t>Jorge Ramírez Pinto</t>
  </si>
  <si>
    <t>Recursos Humanos</t>
  </si>
  <si>
    <t>Analista de RRHH</t>
  </si>
  <si>
    <t>Involuntaria</t>
  </si>
  <si>
    <t>Reestructuración organizacional</t>
  </si>
  <si>
    <t>Pedro Castillo Ríos</t>
  </si>
  <si>
    <t>Coordinador de Ventas</t>
  </si>
  <si>
    <t>Jubilación</t>
  </si>
  <si>
    <t>Jubilación por edad</t>
  </si>
  <si>
    <t>Laura Jiménez Núñez</t>
  </si>
  <si>
    <t>Fin de contrato</t>
  </si>
  <si>
    <t>Fin de contrato temporal</t>
  </si>
  <si>
    <t>Diego Soto Bravo</t>
  </si>
  <si>
    <t>Logística</t>
  </si>
  <si>
    <t>Otro</t>
  </si>
  <si>
    <t>Cambio de residencia</t>
  </si>
  <si>
    <t>Marta Ruiz Cordero</t>
  </si>
  <si>
    <t>Finanzas</t>
  </si>
  <si>
    <t>Contadora</t>
  </si>
  <si>
    <t>Razones personales</t>
  </si>
  <si>
    <t>Back to Home</t>
  </si>
  <si>
    <t>PivotTable based on the live 'Empleados' table. Refresh it after editing source data.</t>
  </si>
  <si>
    <t>1.</t>
  </si>
  <si>
    <t>Registrar los empleados con su fecha de ingreso y datos básicos.</t>
  </si>
  <si>
    <t>2.</t>
  </si>
  <si>
    <t>Cuando un empleado se desvincula, registrar fecha de salida, tipo y motivo.</t>
  </si>
  <si>
    <t>3.</t>
  </si>
  <si>
    <t>El estado, la antigüedad y el rango de antigüedad se calculan automáticamente.</t>
  </si>
  <si>
    <t>4.</t>
  </si>
  <si>
    <t>Consultar el Dashboard para ver KPIs, tablas dinámicas y gráficos.</t>
  </si>
  <si>
    <t>5.</t>
  </si>
  <si>
    <t>Usar los reportes para analizar la rotación por departamento, tipo de salida, motivo, puesto y rango de antigüedad.</t>
  </si>
  <si>
    <t>Editing data</t>
  </si>
  <si>
    <t>Each sheet holds one table. Type directly into cells; press Tab in the last cell of the last row to add a new row.</t>
  </si>
  <si>
    <t>Dropdowns</t>
  </si>
  <si>
    <t>Reference columns offer a dropdown of valid values; the "(lookup)" column next to them shows the related name and fills in automatically.</t>
  </si>
  <si>
    <t>Filtering &amp; sorting</t>
  </si>
  <si>
    <t>Use the arrow buttons in the table header row.</t>
  </si>
  <si>
    <t>The Dashboard sheet recalculates automatically from your data.</t>
  </si>
  <si>
    <t>Forms &amp; buttons</t>
  </si>
  <si>
    <t>With macros enabled, every data sheet gets New / Edit / Delete buttons and a record form with validation.</t>
  </si>
  <si>
    <t>Audit log</t>
  </si>
  <si>
    <t>Changes made through the form are recorded on the (hidden) _audit_log sheet.</t>
  </si>
  <si>
    <t>Data dictionary</t>
  </si>
  <si>
    <t>key</t>
  </si>
  <si>
    <t>value</t>
  </si>
  <si>
    <t>engine_version</t>
  </si>
  <si>
    <t>1.5.0</t>
  </si>
  <si>
    <t>project_name</t>
  </si>
  <si>
    <t>project_slug</t>
  </si>
  <si>
    <t>rotacion-de-personal</t>
  </si>
  <si>
    <t>generated_at</t>
  </si>
  <si>
    <t>2026-06-20T21:12:45.251Z</t>
  </si>
  <si>
    <t>template_variant</t>
  </si>
  <si>
    <t>classic</t>
  </si>
  <si>
    <t>excel_theme</t>
  </si>
  <si>
    <t>excel_date_format</t>
  </si>
  <si>
    <t>yyyy-mm-dd</t>
  </si>
  <si>
    <t>excel_datetime_format</t>
  </si>
  <si>
    <t>yyyy-mm-dd hh:mm</t>
  </si>
  <si>
    <t>excel_protection_enabled</t>
  </si>
  <si>
    <t>1</t>
  </si>
  <si>
    <t>excel_row_limit</t>
  </si>
  <si>
    <t>50000</t>
  </si>
  <si>
    <t>audit_sheet</t>
  </si>
  <si>
    <t>_audit_log</t>
  </si>
  <si>
    <t>sheet</t>
  </si>
  <si>
    <t>query_name</t>
  </si>
  <si>
    <t>target_cell</t>
  </si>
  <si>
    <t>m_code</t>
  </si>
  <si>
    <t>columns_json</t>
  </si>
  <si>
    <t>display_title</t>
  </si>
  <si>
    <t>description</t>
  </si>
  <si>
    <t>entity</t>
  </si>
  <si>
    <t>table</t>
  </si>
  <si>
    <t>singular</t>
  </si>
  <si>
    <t>plural</t>
  </si>
  <si>
    <t>pk_column</t>
  </si>
  <si>
    <t>pk_header</t>
  </si>
  <si>
    <t>audit_enabled</t>
  </si>
  <si>
    <t>workflow_status_column</t>
  </si>
  <si>
    <t>workflow_status_header</t>
  </si>
  <si>
    <t>empleados</t>
  </si>
  <si>
    <t>tblEmpleados</t>
  </si>
  <si>
    <t>Empleado</t>
  </si>
  <si>
    <t>id</t>
  </si>
  <si>
    <t>0</t>
  </si>
  <si>
    <t>header</t>
  </si>
  <si>
    <t>column</t>
  </si>
  <si>
    <t>type</t>
  </si>
  <si>
    <t>ui_hint</t>
  </si>
  <si>
    <t>is_pk</t>
  </si>
  <si>
    <t>is_fk</t>
  </si>
  <si>
    <t>required</t>
  </si>
  <si>
    <t>is_computed</t>
  </si>
  <si>
    <t>is_lookup_label</t>
  </si>
  <si>
    <t>fk_target_entity</t>
  </si>
  <si>
    <t>fk_target_pk</t>
  </si>
  <si>
    <t>fk_target_display</t>
  </si>
  <si>
    <t>default_value</t>
  </si>
  <si>
    <t>helper_text</t>
  </si>
  <si>
    <t>options</t>
  </si>
  <si>
    <t>is_in_create_form</t>
  </si>
  <si>
    <t>is_in_edit_form</t>
  </si>
  <si>
    <t>display_order</t>
  </si>
  <si>
    <t>calculated_formula</t>
  </si>
  <si>
    <t>integer</t>
  </si>
  <si>
    <t>HIDDEN</t>
  </si>
  <si>
    <t>nombre</t>
  </si>
  <si>
    <t>string</t>
  </si>
  <si>
    <t>TEXTAREA</t>
  </si>
  <si>
    <t>departamento</t>
  </si>
  <si>
    <t>SELECT</t>
  </si>
  <si>
    <t>Administración|Operaciones|Tecnología|Marketing|Ventas|Recursos Humanos|Logística|Finanzas</t>
  </si>
  <si>
    <t>2</t>
  </si>
  <si>
    <t>puesto</t>
  </si>
  <si>
    <t>3</t>
  </si>
  <si>
    <t>fecha_ingreso</t>
  </si>
  <si>
    <t>date</t>
  </si>
  <si>
    <t>DATE</t>
  </si>
  <si>
    <t>4</t>
  </si>
  <si>
    <t>fecha_salida</t>
  </si>
  <si>
    <t>5</t>
  </si>
  <si>
    <t>estado</t>
  </si>
  <si>
    <t>'Activo'</t>
  </si>
  <si>
    <t>6</t>
  </si>
  <si>
    <t>IF((tblEmpleados[[#This Row],[Fecha de Salida]]=""),"Activo","Baja")</t>
  </si>
  <si>
    <t>tipo_salida</t>
  </si>
  <si>
    <t>Voluntaria|Involuntaria|Jubilación|Fin de contrato|Otro</t>
  </si>
  <si>
    <t>7</t>
  </si>
  <si>
    <t>motivo_salida</t>
  </si>
  <si>
    <t>8</t>
  </si>
  <si>
    <t>antiguedad_meses</t>
  </si>
  <si>
    <t>TEXT</t>
  </si>
  <si>
    <t>9</t>
  </si>
  <si>
    <t>IF((tblEmpleados[[#This Row],[Fecha de Salida]]=""),ROUND(DATEDIF(tblEmpleados[[#This Row],[Fecha de Ingreso]],TODAY(),"m"),1),ROUND(DATEDIF(tblEmpleados[[#This Row],[Fecha de Ingreso]],tblEmpleados[[#This Row],[Fecha de Salida]],"m"),1))</t>
  </si>
  <si>
    <t>antiguedad_anios</t>
  </si>
  <si>
    <t>10</t>
  </si>
  <si>
    <t>IF((tblEmpleados[[#This Row],[Fecha de Salida]]=""),ROUND(DATEDIF(tblEmpleados[[#This Row],[Fecha de Ingreso]],TODAY(),"y"),1),ROUND(DATEDIF(tblEmpleados[[#This Row],[Fecha de Ingreso]],tblEmpleados[[#This Row],[Fecha de Salida]],"y"),1))</t>
  </si>
  <si>
    <t>rango_antiguedad</t>
  </si>
  <si>
    <t>11</t>
  </si>
  <si>
    <t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t>
  </si>
  <si>
    <t>mes_salida</t>
  </si>
  <si>
    <t>12</t>
  </si>
  <si>
    <t>IF((tblEmpleados[[#This Row],[Fecha de Salida]]=""),"",tblEmpleados[[#This Row],[Fecha de Salida]])</t>
  </si>
  <si>
    <t>observaciones</t>
  </si>
  <si>
    <t>13</t>
  </si>
  <si>
    <t>rule_type</t>
  </si>
  <si>
    <t>rule_config</t>
  </si>
  <si>
    <t>error_message</t>
  </si>
  <si>
    <t>severity</t>
  </si>
  <si>
    <t>{"required":true,"autoConfigured":true}</t>
  </si>
  <si>
    <t>Fecha Ingreso is required.</t>
  </si>
  <si>
    <t>ERROR</t>
  </si>
  <si>
    <t>Id is required.</t>
  </si>
  <si>
    <t>Nombre is required.</t>
  </si>
  <si>
    <t>status_column</t>
  </si>
  <si>
    <t>state</t>
  </si>
  <si>
    <t>label</t>
  </si>
  <si>
    <t>actions_json</t>
  </si>
  <si>
    <t>event</t>
  </si>
  <si>
    <t>execution_order</t>
  </si>
  <si>
    <t>condition_json</t>
  </si>
  <si>
    <t>action_json</t>
  </si>
  <si>
    <t>source</t>
  </si>
  <si>
    <t>timestamp</t>
  </si>
  <si>
    <t>user</t>
  </si>
  <si>
    <t>record_pk</t>
  </si>
  <si>
    <t>action</t>
  </si>
  <si>
    <t>old_value</t>
  </si>
  <si>
    <t>new_value</t>
  </si>
  <si>
    <t>crud_panel_position.Home</t>
  </si>
  <si>
    <t>Etiquetas de fila</t>
  </si>
  <si>
    <t>Count of Id</t>
  </si>
  <si>
    <t>5+ años</t>
  </si>
  <si>
    <t>3-5 años</t>
  </si>
  <si>
    <t>1-2 años</t>
  </si>
  <si>
    <t>Total general</t>
  </si>
  <si>
    <t>(en blanco)</t>
  </si>
  <si>
    <t>0|0</t>
  </si>
  <si>
    <t>2000|557</t>
  </si>
  <si>
    <t>crud_panel_position.Rotación por Motivo de Salida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</si>
</sst>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yyyy\-mm"/>
    <numFmt numFmtId="166" formatCode="#,##0.00&quot;%&quot;"/>
  </numFmts>
  <fonts count="11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6"/>
      <color rgb="FF111827"/>
      <name val="Calibri"/>
      <family val="2"/>
    </font>
    <font>
      <u/>
      <sz val="11"/>
      <color rgb="FF2563EB"/>
      <name val="Calibri"/>
      <family val="2"/>
    </font>
    <font>
      <i/>
      <sz val="10"/>
      <color rgb="FF6B7280"/>
      <name val="Calibri"/>
      <family val="2"/>
    </font>
    <font>
      <b/>
      <sz val="22"/>
      <color rgb="FF4F46E5"/>
      <name val="Calibri"/>
      <family val="2"/>
    </font>
    <font>
      <b/>
      <sz val="13"/>
      <color rgb="FF4F46E5"/>
      <name val="Calibri"/>
      <family val="2"/>
    </font>
    <font>
      <b/>
      <sz val="18"/>
      <color rgb="FF111827"/>
      <name val="Calibri"/>
      <family val="2"/>
    </font>
    <font>
      <b/>
      <sz val="9"/>
      <color indexed="81"/>
      <name val="Calibr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4F46E5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EEF2FF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rgb="FFD1D5DB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2" borderId="0" xfId="0" applyFont="1" applyFill="1" applyAlignment="1">
      <alignment vertical="center"/>
    </xf>
    <xf numFmtId="0" fontId="3" fillId="0" borderId="0" xfId="0" applyFont="1"/>
    <xf numFmtId="3" fontId="0" fillId="0" borderId="0" xfId="0" applyNumberFormat="1"/>
    <xf numFmtId="0" fontId="4" fillId="0" borderId="0" xfId="0" applyFont="1" applyProtection="1">
      <protection locked="0"/>
    </xf>
    <xf numFmtId="0" fontId="5" fillId="0" borderId="0" xfId="0" applyFont="1"/>
    <xf numFmtId="0" fontId="6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" fillId="0" borderId="0" xfId="0" applyFont="1"/>
    <xf numFmtId="0" fontId="0" fillId="0" borderId="0" xfId="0" applyAlignment="1">
      <alignment vertical="top" wrapText="1"/>
    </xf>
    <xf numFmtId="0" fontId="1" fillId="3" borderId="1" xfId="0" applyFont="1" applyFill="1" applyBorder="1"/>
    <xf numFmtId="0" fontId="7" fillId="5" borderId="1" xfId="0" applyFont="1" applyFill="1" applyBorder="1" applyAlignment="1">
      <alignment vertical="center" wrapText="1"/>
    </xf>
    <xf numFmtId="3" fontId="8" fillId="5" borderId="1" xfId="0" applyNumberFormat="1" applyFont="1" applyFill="1" applyBorder="1" applyAlignment="1">
      <alignment vertical="center"/>
    </xf>
    <xf numFmtId="0" fontId="6" fillId="3" borderId="1" xfId="0" applyFont="1" applyFill="1" applyBorder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/>
    <xf numFmtId="4" fontId="6" fillId="4" borderId="0" xfId="0" applyNumberFormat="1" applyFont="1" applyFill="1" applyAlignment="1">
      <alignment horizontal="center" vertical="center"/>
    </xf>
    <xf numFmtId="166" fontId="6" fillId="4" borderId="0" xfId="0" applyNumberFormat="1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c:style val="2"/>
  <c:chart>
    <c:title>
      <c:tx>
        <c:rich>
          <a:bodyPr/>
          <a:lstStyle/>
          <a:p>
            <a:r>
              <a:rPr lang="en-US" sz="1000" b="1">
                <a:solidFill>
                  <a:srgbClr val="4F46E5"/>
                </a:solidFill>
              </a:rPr>
              <a:t>Distribución por Rango de Antigüedad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Distribución por Rango de Antigüedad</c:v>
          </c:tx>
          <c:cat>
            <c:strRef>
              <c:f>Dashboard!$K$13:$K$20</c:f>
              <c:strCache>
                <c:ptCount val="3"/>
                <c:pt idx="0">
                  <c:v>5+ años</c:v>
                </c:pt>
                <c:pt idx="1">
                  <c:v>3-5 años</c:v>
                </c:pt>
                <c:pt idx="2">
                  <c:v>1-2 años</c:v>
                </c:pt>
              </c:strCache>
            </c:strRef>
          </c:cat>
          <c:val>
            <c:numRef>
              <c:f>Dashboard!$L$13:$L$20</c:f>
              <c:numCache>
                <c:formatCode>#,##0</c:formatCode>
                <c:ptCount val="8"/>
                <c:pt idx="0">
                  <c:v>4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F-734F-AE87-7F284FEA7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s-MX"/>
        </a:p>
      </c:txPr>
    </c:legend>
    <c:plotVisOnly val="1"/>
    <c:dispBlanksAs val="gap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c:style val="2"/>
  <c:chart>
    <c:title>
      <c:tx>
        <c:rich>
          <a:bodyPr/>
          <a:lstStyle/>
          <a:p>
            <a:r>
              <a:rPr lang="en-US" sz="1000" b="1">
                <a:solidFill>
                  <a:srgbClr val="4F46E5"/>
                </a:solidFill>
              </a:rPr>
              <a:t>Empleados por Departamento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Empleados por Departamento</c:v>
          </c:tx>
          <c:invertIfNegative val="1"/>
          <c:cat>
            <c:strRef>
              <c:f>Dashboard!$N$13:$N$20</c:f>
              <c:strCache>
                <c:ptCount val="8"/>
                <c:pt idx="0">
                  <c:v>Administración</c:v>
                </c:pt>
                <c:pt idx="1">
                  <c:v>Operaciones</c:v>
                </c:pt>
                <c:pt idx="2">
                  <c:v>Tecnología</c:v>
                </c:pt>
                <c:pt idx="3">
                  <c:v>Marketing</c:v>
                </c:pt>
                <c:pt idx="4">
                  <c:v>Ventas</c:v>
                </c:pt>
                <c:pt idx="5">
                  <c:v>Recursos Humanos</c:v>
                </c:pt>
                <c:pt idx="6">
                  <c:v>Logística</c:v>
                </c:pt>
                <c:pt idx="7">
                  <c:v>Finanzas</c:v>
                </c:pt>
              </c:strCache>
            </c:strRef>
          </c:cat>
          <c:val>
            <c:numRef>
              <c:f>Dashboard!$O$13:$O$20</c:f>
              <c:numCache>
                <c:formatCode>#,##0</c:formatCode>
                <c:ptCount val="8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4-1743-AD96-D5467797C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20"/>
      </c:barChart>
      <c:catAx>
        <c:axId val="10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txPr>
          <a:bodyPr/>
          <a:lstStyle/>
          <a:p>
            <a:pPr>
              <a:defRPr sz="800"/>
            </a:pPr>
            <a:endParaRPr lang="es-MX"/>
          </a:p>
        </c:txPr>
        <c:crossAx val="20"/>
        <c:crosses val="autoZero"/>
        <c:auto val="1"/>
        <c:lblAlgn val="ctr"/>
        <c:lblOffset val="100"/>
        <c:noMultiLvlLbl val="1"/>
      </c:catAx>
      <c:valAx>
        <c:axId val="20"/>
        <c:scaling>
          <c:orientation val="minMax"/>
        </c:scaling>
        <c:delete val="0"/>
        <c:axPos val="b"/>
        <c:majorGridlines/>
        <c:numFmt formatCode="#,##0" sourceLinked="1"/>
        <c:majorTickMark val="cross"/>
        <c:minorTickMark val="cross"/>
        <c:tickLblPos val="nextTo"/>
        <c:txPr>
          <a:bodyPr/>
          <a:lstStyle/>
          <a:p>
            <a:pPr>
              <a:defRPr sz="800"/>
            </a:pPr>
            <a:endParaRPr lang="es-MX"/>
          </a:p>
        </c:txPr>
        <c:crossAx val="1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800"/>
          </a:pPr>
          <a:endParaRPr lang="es-MX"/>
        </a:p>
      </c:txPr>
    </c:legend>
    <c:plotVisOnly val="1"/>
    <c:dispBlanksAs val="gap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c:style val="2"/>
  <c:chart>
    <c:title>
      <c:tx>
        <c:rich>
          <a:bodyPr/>
          <a:lstStyle/>
          <a:p>
            <a:r>
              <a:rPr lang="en-US" sz="1000" b="1">
                <a:solidFill>
                  <a:srgbClr val="4F46E5"/>
                </a:solidFill>
              </a:rPr>
              <a:t>Distribución por Motivo de Salida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Distribución por Motivo de Salida</c:v>
          </c:tx>
          <c:cat>
            <c:strRef>
              <c:f>Dashboard!$K$28:$K$35</c:f>
              <c:strCache>
                <c:ptCount val="6"/>
                <c:pt idx="0">
                  <c:v>Mejor oferta laboral</c:v>
                </c:pt>
                <c:pt idx="1">
                  <c:v>Reestructuración organizacional</c:v>
                </c:pt>
                <c:pt idx="2">
                  <c:v>Jubilación por edad</c:v>
                </c:pt>
                <c:pt idx="3">
                  <c:v>Fin de contrato temporal</c:v>
                </c:pt>
                <c:pt idx="4">
                  <c:v>Cambio de residencia</c:v>
                </c:pt>
                <c:pt idx="5">
                  <c:v>Razones personales</c:v>
                </c:pt>
              </c:strCache>
            </c:strRef>
          </c:cat>
          <c:val>
            <c:numRef>
              <c:f>Dashboard!$L$28:$L$35</c:f>
              <c:numCache>
                <c:formatCode>#,##0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6-AB48-B63C-360CC49FD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s-MX"/>
        </a:p>
      </c:txPr>
    </c:legend>
    <c:plotVisOnly val="1"/>
    <c:dispBlanksAs val="gap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c:style val="2"/>
  <c:chart>
    <c:title>
      <c:tx>
        <c:rich>
          <a:bodyPr/>
          <a:lstStyle/>
          <a:p>
            <a:r>
              <a:rPr lang="en-US" sz="1000" b="1">
                <a:solidFill>
                  <a:srgbClr val="4F46E5"/>
                </a:solidFill>
              </a:rPr>
              <a:t>Bajas por 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Bajas por Mes</c:v>
          </c:tx>
          <c:cat>
            <c:strRef>
              <c:f>Dashboard!$N$28:$N$35</c:f>
              <c:strCache>
                <c:ptCount val="6"/>
                <c:pt idx="0">
                  <c:v>45991</c:v>
                </c:pt>
                <c:pt idx="1">
                  <c:v>45884</c:v>
                </c:pt>
                <c:pt idx="2">
                  <c:v>45777</c:v>
                </c:pt>
                <c:pt idx="3">
                  <c:v>45910</c:v>
                </c:pt>
                <c:pt idx="4">
                  <c:v>45996</c:v>
                </c:pt>
                <c:pt idx="5">
                  <c:v>45950</c:v>
                </c:pt>
              </c:strCache>
            </c:strRef>
          </c:cat>
          <c:val>
            <c:numRef>
              <c:f>Dashboard!$O$28:$O$35</c:f>
              <c:numCache>
                <c:formatCode>#,##0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C75-3E4D-92A5-D745DDE33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2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txPr>
          <a:bodyPr/>
          <a:lstStyle/>
          <a:p>
            <a:pPr>
              <a:defRPr sz="800"/>
            </a:pPr>
            <a:endParaRPr lang="es-MX"/>
          </a:p>
        </c:txPr>
        <c:crossAx val="20"/>
        <c:crosses val="autoZero"/>
        <c:auto val="1"/>
        <c:lblAlgn val="ctr"/>
        <c:lblOffset val="100"/>
        <c:noMultiLvlLbl val="1"/>
      </c:catAx>
      <c:valAx>
        <c:axId val="2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cross"/>
        <c:tickLblPos val="nextTo"/>
        <c:txPr>
          <a:bodyPr/>
          <a:lstStyle/>
          <a:p>
            <a:pPr>
              <a:defRPr sz="800"/>
            </a:pPr>
            <a:endParaRPr lang="es-MX"/>
          </a:p>
        </c:txPr>
        <c:crossAx val="1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800"/>
          </a:pPr>
          <a:endParaRPr lang="es-MX"/>
        </a:p>
      </c:txPr>
    </c:legend>
    <c:plotVisOnly val="1"/>
    <c:dispBlanksAs val="gap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1219200</xdr:colOff>
          <xdr:row>1</xdr:row>
          <xdr:rowOff>304800</xdr:rowOff>
        </xdr:to>
        <xdr:sp macro="" textlink="">
          <xdr:nvSpPr>
            <xdr:cNvPr id="4097" name="sfBtnShowCrudPanel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Abrir Panel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1284110</xdr:colOff>
      <xdr:row>9</xdr:row>
      <xdr:rowOff>197555</xdr:rowOff>
    </xdr:from>
    <xdr:to>
      <xdr:col>5</xdr:col>
      <xdr:colOff>1284110</xdr:colOff>
      <xdr:row>25</xdr:row>
      <xdr:rowOff>42333</xdr:rowOff>
    </xdr:to>
    <xdr:graphicFrame macro="">
      <xdr:nvGraphicFramePr>
        <xdr:cNvPr id="2" name="Distribución por Rango de Antigüedad" descr="Distribución por Rango de Antigüedad 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8</xdr:row>
      <xdr:rowOff>0</xdr:rowOff>
    </xdr:from>
    <xdr:to>
      <xdr:col>10</xdr:col>
      <xdr:colOff>0</xdr:colOff>
      <xdr:row>22</xdr:row>
      <xdr:rowOff>0</xdr:rowOff>
    </xdr:to>
    <xdr:graphicFrame macro="">
      <xdr:nvGraphicFramePr>
        <xdr:cNvPr id="3" name="Empleados por Departamento" descr="Empleados por Departamento char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1270000</xdr:colOff>
      <xdr:row>27</xdr:row>
      <xdr:rowOff>112889</xdr:rowOff>
    </xdr:from>
    <xdr:to>
      <xdr:col>5</xdr:col>
      <xdr:colOff>1270000</xdr:colOff>
      <xdr:row>41</xdr:row>
      <xdr:rowOff>112889</xdr:rowOff>
    </xdr:to>
    <xdr:graphicFrame macro="">
      <xdr:nvGraphicFramePr>
        <xdr:cNvPr id="4" name="Distribución por Motivo de Salida" descr="Distribución por Motivo de Salida cha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24</xdr:row>
      <xdr:rowOff>0</xdr:rowOff>
    </xdr:from>
    <xdr:to>
      <xdr:col>10</xdr:col>
      <xdr:colOff>0</xdr:colOff>
      <xdr:row>38</xdr:row>
      <xdr:rowOff>0</xdr:rowOff>
    </xdr:to>
    <xdr:graphicFrame macro="">
      <xdr:nvGraphicFramePr>
        <xdr:cNvPr id="5" name="Bajas por Mes" descr="Bajas por Mes char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0</xdr:row>
          <xdr:rowOff>50800</xdr:rowOff>
        </xdr:from>
        <xdr:to>
          <xdr:col>15</xdr:col>
          <xdr:colOff>495300</xdr:colOff>
          <xdr:row>1</xdr:row>
          <xdr:rowOff>76200</xdr:rowOff>
        </xdr:to>
        <xdr:sp macro="" textlink="">
          <xdr:nvSpPr>
            <xdr:cNvPr id="1031" name="sfBtnNew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571500</xdr:colOff>
          <xdr:row>0</xdr:row>
          <xdr:rowOff>50800</xdr:rowOff>
        </xdr:from>
        <xdr:to>
          <xdr:col>17</xdr:col>
          <xdr:colOff>241300</xdr:colOff>
          <xdr:row>1</xdr:row>
          <xdr:rowOff>76200</xdr:rowOff>
        </xdr:to>
        <xdr:sp macro="" textlink="">
          <xdr:nvSpPr>
            <xdr:cNvPr id="1032" name="sfBtnEdi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317500</xdr:colOff>
          <xdr:row>0</xdr:row>
          <xdr:rowOff>50800</xdr:rowOff>
        </xdr:from>
        <xdr:to>
          <xdr:col>18</xdr:col>
          <xdr:colOff>660400</xdr:colOff>
          <xdr:row>1</xdr:row>
          <xdr:rowOff>76200</xdr:rowOff>
        </xdr:to>
        <xdr:sp macro="" textlink="">
          <xdr:nvSpPr>
            <xdr:cNvPr id="1033" name="sfBtnDelet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ngel Salazar" refreshedDate="46194.742251041665" createdVersion="6" refreshedVersion="8" minRefreshableVersion="3" recordCount="10" xr:uid="{00000000-000A-0000-FFFF-FFFF05000000}">
  <cacheSource type="worksheet">
    <worksheetSource name="tblEmpleados"/>
  </cacheSource>
  <cacheFields count="14">
    <cacheField name="Id" numFmtId="3">
      <sharedItems containsSemiMixedTypes="0" containsString="0" containsNumber="1" containsInteger="1" minValue="1" maxValue="10"/>
    </cacheField>
    <cacheField name="Nombre Completo" numFmtId="0">
      <sharedItems/>
    </cacheField>
    <cacheField name="Departamento" numFmtId="0">
      <sharedItems/>
    </cacheField>
    <cacheField name="Puesto / Cargo" numFmtId="0">
      <sharedItems/>
    </cacheField>
    <cacheField name="Fecha de Ingreso" numFmtId="164">
      <sharedItems containsSemiMixedTypes="0" containsNonDate="0" containsDate="1" containsString="0" minDate="2018-02-14T00:00:00" maxDate="2024-02-02T00:00:00"/>
    </cacheField>
    <cacheField name="Fecha de Salida" numFmtId="164">
      <sharedItems containsNonDate="0" containsDate="1" containsString="0" containsBlank="1" minDate="2025-04-30T00:00:00" maxDate="2025-12-06T00:00:00"/>
    </cacheField>
    <cacheField name="Estado" numFmtId="0">
      <sharedItems/>
    </cacheField>
    <cacheField name="Tipo de Salida" numFmtId="0">
      <sharedItems containsBlank="1"/>
    </cacheField>
    <cacheField name="Motivo de Salida" numFmtId="0">
      <sharedItems containsBlank="1"/>
    </cacheField>
    <cacheField name="Antigüedad (meses)" numFmtId="3">
      <sharedItems containsSemiMixedTypes="0" containsString="0" containsNumber="1" containsInteger="1" minValue="28" maxValue="86"/>
    </cacheField>
    <cacheField name="Antigüedad (años)" numFmtId="3">
      <sharedItems containsSemiMixedTypes="0" containsString="0" containsNumber="1" containsInteger="1" minValue="2" maxValue="7"/>
    </cacheField>
    <cacheField name="Rango de Antigüedad" numFmtId="0">
      <sharedItems count="3">
        <s v="5+ años"/>
        <s v="3-5 años"/>
        <s v="1-2 años"/>
      </sharedItems>
    </cacheField>
    <cacheField name="Mes de Salida" numFmtId="165">
      <sharedItems containsDate="1" containsMixedTypes="1" minDate="2025-04-30T00:00:00" maxDate="2025-12-06T00:00:00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ngel Salazar" refreshedDate="46194.742251041665" createdVersion="6" refreshedVersion="8" minRefreshableVersion="3" recordCount="10" xr:uid="{00000000-000A-0000-FFFF-FFFF04000000}">
  <cacheSource type="worksheet">
    <worksheetSource name="tblEmpleados"/>
  </cacheSource>
  <cacheFields count="14">
    <cacheField name="Id" numFmtId="3">
      <sharedItems containsSemiMixedTypes="0" containsString="0" containsNumber="1" containsInteger="1" minValue="1" maxValue="10"/>
    </cacheField>
    <cacheField name="Nombre Completo" numFmtId="0">
      <sharedItems/>
    </cacheField>
    <cacheField name="Departamento" numFmtId="0">
      <sharedItems/>
    </cacheField>
    <cacheField name="Puesto / Cargo" numFmtId="0">
      <sharedItems count="8">
        <s v="Asistente Administrativo"/>
        <s v="Operario"/>
        <s v="Desarrolladora"/>
        <s v="Analista de Marketing"/>
        <s v="Ejecutivo de Ventas"/>
        <s v="Analista de RRHH"/>
        <s v="Coordinador de Ventas"/>
        <s v="Contadora"/>
      </sharedItems>
    </cacheField>
    <cacheField name="Fecha de Ingreso" numFmtId="164">
      <sharedItems containsSemiMixedTypes="0" containsNonDate="0" containsDate="1" containsString="0" minDate="2018-02-14T00:00:00" maxDate="2024-02-02T00:00:00"/>
    </cacheField>
    <cacheField name="Fecha de Salida" numFmtId="164">
      <sharedItems containsNonDate="0" containsDate="1" containsString="0" containsBlank="1" minDate="2025-04-30T00:00:00" maxDate="2025-12-06T00:00:00"/>
    </cacheField>
    <cacheField name="Estado" numFmtId="0">
      <sharedItems/>
    </cacheField>
    <cacheField name="Tipo de Salida" numFmtId="0">
      <sharedItems containsBlank="1"/>
    </cacheField>
    <cacheField name="Motivo de Salida" numFmtId="0">
      <sharedItems containsBlank="1"/>
    </cacheField>
    <cacheField name="Antigüedad (meses)" numFmtId="3">
      <sharedItems containsSemiMixedTypes="0" containsString="0" containsNumber="1" containsInteger="1" minValue="28" maxValue="86"/>
    </cacheField>
    <cacheField name="Antigüedad (años)" numFmtId="3">
      <sharedItems containsSemiMixedTypes="0" containsString="0" containsNumber="1" containsInteger="1" minValue="2" maxValue="7"/>
    </cacheField>
    <cacheField name="Rango de Antigüedad" numFmtId="0">
      <sharedItems/>
    </cacheField>
    <cacheField name="Mes de Salida" numFmtId="165">
      <sharedItems containsDate="1" containsMixedTypes="1" minDate="2025-04-30T00:00:00" maxDate="2025-12-06T00:00:00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ngel Salazar" refreshedDate="46194.742251157404" createdVersion="6" refreshedVersion="8" minRefreshableVersion="3" recordCount="10" xr:uid="{00000000-000A-0000-FFFF-FFFF03000000}">
  <cacheSource type="worksheet">
    <worksheetSource name="tblEmpleados"/>
  </cacheSource>
  <cacheFields count="14">
    <cacheField name="Id" numFmtId="3">
      <sharedItems containsSemiMixedTypes="0" containsString="0" containsNumber="1" containsInteger="1" minValue="1" maxValue="10"/>
    </cacheField>
    <cacheField name="Nombre Completo" numFmtId="0">
      <sharedItems/>
    </cacheField>
    <cacheField name="Departamento" numFmtId="0">
      <sharedItems/>
    </cacheField>
    <cacheField name="Puesto / Cargo" numFmtId="0">
      <sharedItems/>
    </cacheField>
    <cacheField name="Fecha de Ingreso" numFmtId="164">
      <sharedItems containsSemiMixedTypes="0" containsNonDate="0" containsDate="1" containsString="0" minDate="2018-02-14T00:00:00" maxDate="2024-02-02T00:00:00"/>
    </cacheField>
    <cacheField name="Fecha de Salida" numFmtId="164">
      <sharedItems containsNonDate="0" containsDate="1" containsString="0" containsBlank="1" minDate="2025-04-30T00:00:00" maxDate="2025-12-06T00:00:00"/>
    </cacheField>
    <cacheField name="Estado" numFmtId="0">
      <sharedItems/>
    </cacheField>
    <cacheField name="Tipo de Salida" numFmtId="0">
      <sharedItems containsBlank="1"/>
    </cacheField>
    <cacheField name="Motivo de Salida" numFmtId="0">
      <sharedItems containsBlank="1" count="7">
        <m/>
        <s v="Mejor oferta laboral"/>
        <s v="Reestructuración organizacional"/>
        <s v="Jubilación por edad"/>
        <s v="Fin de contrato temporal"/>
        <s v="Cambio de residencia"/>
        <s v="Razones personales"/>
      </sharedItems>
    </cacheField>
    <cacheField name="Antigüedad (meses)" numFmtId="3">
      <sharedItems containsSemiMixedTypes="0" containsString="0" containsNumber="1" containsInteger="1" minValue="28" maxValue="86"/>
    </cacheField>
    <cacheField name="Antigüedad (años)" numFmtId="3">
      <sharedItems containsSemiMixedTypes="0" containsString="0" containsNumber="1" containsInteger="1" minValue="2" maxValue="7"/>
    </cacheField>
    <cacheField name="Rango de Antigüedad" numFmtId="0">
      <sharedItems/>
    </cacheField>
    <cacheField name="Mes de Salida" numFmtId="165">
      <sharedItems containsDate="1" containsMixedTypes="1" minDate="2025-04-30T00:00:00" maxDate="2025-12-06T00:00:00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ngel Salazar" refreshedDate="46194.742251157404" createdVersion="6" refreshedVersion="8" minRefreshableVersion="3" recordCount="10" xr:uid="{00000000-000A-0000-FFFF-FFFF02000000}">
  <cacheSource type="worksheet">
    <worksheetSource name="tblEmpleados"/>
  </cacheSource>
  <cacheFields count="14">
    <cacheField name="Id" numFmtId="3">
      <sharedItems containsSemiMixedTypes="0" containsString="0" containsNumber="1" containsInteger="1" minValue="1" maxValue="10"/>
    </cacheField>
    <cacheField name="Nombre Completo" numFmtId="0">
      <sharedItems/>
    </cacheField>
    <cacheField name="Departamento" numFmtId="0">
      <sharedItems/>
    </cacheField>
    <cacheField name="Puesto / Cargo" numFmtId="0">
      <sharedItems/>
    </cacheField>
    <cacheField name="Fecha de Ingreso" numFmtId="164">
      <sharedItems containsSemiMixedTypes="0" containsNonDate="0" containsDate="1" containsString="0" minDate="2018-02-14T00:00:00" maxDate="2024-02-02T00:00:00"/>
    </cacheField>
    <cacheField name="Fecha de Salida" numFmtId="164">
      <sharedItems containsNonDate="0" containsDate="1" containsString="0" containsBlank="1" minDate="2025-04-30T00:00:00" maxDate="2025-12-06T00:00:00"/>
    </cacheField>
    <cacheField name="Estado" numFmtId="0">
      <sharedItems/>
    </cacheField>
    <cacheField name="Tipo de Salida" numFmtId="0">
      <sharedItems containsBlank="1" count="6">
        <m/>
        <s v="Voluntaria"/>
        <s v="Involuntaria"/>
        <s v="Jubilación"/>
        <s v="Fin de contrato"/>
        <s v="Otro"/>
      </sharedItems>
    </cacheField>
    <cacheField name="Motivo de Salida" numFmtId="0">
      <sharedItems containsBlank="1"/>
    </cacheField>
    <cacheField name="Antigüedad (meses)" numFmtId="3">
      <sharedItems containsSemiMixedTypes="0" containsString="0" containsNumber="1" containsInteger="1" minValue="28" maxValue="86"/>
    </cacheField>
    <cacheField name="Antigüedad (años)" numFmtId="3">
      <sharedItems containsSemiMixedTypes="0" containsString="0" containsNumber="1" containsInteger="1" minValue="2" maxValue="7"/>
    </cacheField>
    <cacheField name="Rango de Antigüedad" numFmtId="0">
      <sharedItems/>
    </cacheField>
    <cacheField name="Mes de Salida" numFmtId="165">
      <sharedItems containsDate="1" containsMixedTypes="1" minDate="2025-04-30T00:00:00" maxDate="2025-12-06T00:00:00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ngel Salazar" refreshedDate="46194.74225127315" createdVersion="6" refreshedVersion="8" minRefreshableVersion="3" recordCount="10" xr:uid="{00000000-000A-0000-FFFF-FFFF01000000}">
  <cacheSource type="worksheet">
    <worksheetSource name="tblEmpleados"/>
  </cacheSource>
  <cacheFields count="14">
    <cacheField name="Id" numFmtId="3">
      <sharedItems containsSemiMixedTypes="0" containsString="0" containsNumber="1" containsInteger="1" minValue="1" maxValue="10"/>
    </cacheField>
    <cacheField name="Nombre Completo" numFmtId="0">
      <sharedItems/>
    </cacheField>
    <cacheField name="Departamento" numFmtId="0">
      <sharedItems count="8">
        <s v="Administración"/>
        <s v="Operaciones"/>
        <s v="Tecnología"/>
        <s v="Marketing"/>
        <s v="Ventas"/>
        <s v="Recursos Humanos"/>
        <s v="Logística"/>
        <s v="Finanzas"/>
      </sharedItems>
    </cacheField>
    <cacheField name="Puesto / Cargo" numFmtId="0">
      <sharedItems/>
    </cacheField>
    <cacheField name="Fecha de Ingreso" numFmtId="164">
      <sharedItems containsSemiMixedTypes="0" containsNonDate="0" containsDate="1" containsString="0" minDate="2018-02-14T00:00:00" maxDate="2024-02-02T00:00:00"/>
    </cacheField>
    <cacheField name="Fecha de Salida" numFmtId="164">
      <sharedItems containsNonDate="0" containsDate="1" containsString="0" containsBlank="1" minDate="2025-04-30T00:00:00" maxDate="2025-12-06T00:00:00"/>
    </cacheField>
    <cacheField name="Estado" numFmtId="0">
      <sharedItems/>
    </cacheField>
    <cacheField name="Tipo de Salida" numFmtId="0">
      <sharedItems containsBlank="1"/>
    </cacheField>
    <cacheField name="Motivo de Salida" numFmtId="0">
      <sharedItems containsBlank="1"/>
    </cacheField>
    <cacheField name="Antigüedad (meses)" numFmtId="3">
      <sharedItems containsSemiMixedTypes="0" containsString="0" containsNumber="1" containsInteger="1" minValue="28" maxValue="86"/>
    </cacheField>
    <cacheField name="Antigüedad (años)" numFmtId="3">
      <sharedItems containsSemiMixedTypes="0" containsString="0" containsNumber="1" containsInteger="1" minValue="2" maxValue="7"/>
    </cacheField>
    <cacheField name="Rango de Antigüedad" numFmtId="0">
      <sharedItems/>
    </cacheField>
    <cacheField name="Mes de Salida" numFmtId="165">
      <sharedItems containsDate="1" containsMixedTypes="1" minDate="2025-04-30T00:00:00" maxDate="2025-12-06T00:00:00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vt_rotacion_por_departamento" cacheId="407" applyNumberFormats="0" applyBorderFormats="0" applyFontFormats="0" applyPatternFormats="0" applyAlignmentFormats="0" applyWidthHeightFormats="1" dataCaption="Values" updatedVersion="8" minRefreshableVersion="3" useAutoFormatting="1">
  <location ref="B6:C15" firstHeaderRow="1" firstDataRow="1" firstDataCol="1"/>
  <pivotFields count="14">
    <pivotField dataField="1" showAll="0" defaultSubtotal="0"/>
    <pivotField showAll="0" defaultSubtotal="0"/>
    <pivotField axis="axisRow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Id" fld="0" subtotal="count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vt_rotacion_por_tipo_salida" cacheId="403" applyNumberFormats="0" applyBorderFormats="0" applyFontFormats="0" applyPatternFormats="0" applyAlignmentFormats="0" applyWidthHeightFormats="1" dataCaption="Values" updatedVersion="8" minRefreshableVersion="3" useAutoFormatting="1">
  <location ref="B6:C13" firstHeaderRow="1" firstDataRow="1" firstDataCol="1"/>
  <pivotFields count="14"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x="0"/>
        <item x="1"/>
        <item x="2"/>
        <item x="3"/>
        <item x="4"/>
        <item x="5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Id" fld="0" subtotal="count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pvt_rotacion_por_motivo_salida" cacheId="399" applyNumberFormats="0" applyBorderFormats="0" applyFontFormats="0" applyPatternFormats="0" applyAlignmentFormats="0" applyWidthHeightFormats="1" dataCaption="Values" updatedVersion="8" minRefreshableVersion="3" useAutoFormatting="1">
  <location ref="B6:C14" firstHeaderRow="1" firstDataRow="1" firstDataCol="1"/>
  <pivotFields count="14"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7">
        <item x="0"/>
        <item x="1"/>
        <item x="2"/>
        <item x="3"/>
        <item x="4"/>
        <item x="5"/>
        <item x="6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Id" fld="0" subtotal="count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3000000}" name="pvt_rotacion_por_puesto" cacheId="395" applyNumberFormats="0" applyBorderFormats="0" applyFontFormats="0" applyPatternFormats="0" applyAlignmentFormats="0" applyWidthHeightFormats="1" dataCaption="Values" updatedVersion="8" minRefreshableVersion="3" useAutoFormatting="1">
  <location ref="B6:C15" firstHeaderRow="1" firstDataRow="1" firstDataCol="1"/>
  <pivotFields count="14">
    <pivotField dataField="1" showAll="0" defaultSubtotal="0"/>
    <pivotField showAll="0" defaultSubtotal="0"/>
    <pivotField showAll="0" defaultSubtotal="0"/>
    <pivotField axis="axisRow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Id" fld="0" subtotal="count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4000000}" name="pvt_rotacion_por_rango_antiguedad" cacheId="391" applyNumberFormats="0" applyBorderFormats="0" applyFontFormats="0" applyPatternFormats="0" applyAlignmentFormats="0" applyWidthHeightFormats="1" dataCaption="Values" updatedVersion="8" minRefreshableVersion="3" useAutoFormatting="1">
  <location ref="B6:C10" firstHeaderRow="1" firstDataRow="1" firstDataCol="1"/>
  <pivotFields count="14"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3">
        <item x="0"/>
        <item x="1"/>
        <item x="2"/>
      </items>
    </pivotField>
    <pivotField showAll="0" defaultSubtotal="0"/>
    <pivotField showAll="0" defaultSubtotal="0"/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Id" fld="0" subtotal="count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Empleados" displayName="tblEmpleados" ref="A1:N11" totalsRowShown="0">
  <autoFilter ref="A1:N11" xr:uid="{00000000-0009-0000-0100-000001000000}"/>
  <tableColumns count="14">
    <tableColumn id="1" xr3:uid="{00000000-0010-0000-0000-000001000000}" name="Id"/>
    <tableColumn id="2" xr3:uid="{00000000-0010-0000-0000-000002000000}" name="Nombre Completo"/>
    <tableColumn id="3" xr3:uid="{00000000-0010-0000-0000-000003000000}" name="Departamento"/>
    <tableColumn id="4" xr3:uid="{00000000-0010-0000-0000-000004000000}" name="Puesto / Cargo"/>
    <tableColumn id="5" xr3:uid="{00000000-0010-0000-0000-000005000000}" name="Fecha de Ingreso"/>
    <tableColumn id="6" xr3:uid="{00000000-0010-0000-0000-000006000000}" name="Fecha de Salida"/>
    <tableColumn id="7" xr3:uid="{00000000-0010-0000-0000-000007000000}" name="Estado">
      <calculatedColumnFormula>IF((tblEmpleados[[#This Row],[Fecha de Salida]]=""),"Activo","Baja")</calculatedColumnFormula>
    </tableColumn>
    <tableColumn id="8" xr3:uid="{00000000-0010-0000-0000-000008000000}" name="Tipo de Salida"/>
    <tableColumn id="9" xr3:uid="{00000000-0010-0000-0000-000009000000}" name="Motivo de Salida"/>
    <tableColumn id="10" xr3:uid="{00000000-0010-0000-0000-00000A000000}" name="Antigüedad (meses)">
      <calculatedColumnFormula>IF((tblEmpleados[[#This Row],[Fecha de Salida]]=""),ROUND(DATEDIF(tblEmpleados[[#This Row],[Fecha de Ingreso]],TODAY(),"m"),1),ROUND(DATEDIF(tblEmpleados[[#This Row],[Fecha de Ingreso]],tblEmpleados[[#This Row],[Fecha de Salida]],"m"),1))</calculatedColumnFormula>
    </tableColumn>
    <tableColumn id="11" xr3:uid="{00000000-0010-0000-0000-00000B000000}" name="Antigüedad (años)">
      <calculatedColumnFormula>IF((tblEmpleados[[#This Row],[Fecha de Salida]]=""),ROUND(DATEDIF(tblEmpleados[[#This Row],[Fecha de Ingreso]],TODAY(),"y"),1),ROUND(DATEDIF(tblEmpleados[[#This Row],[Fecha de Ingreso]],tblEmpleados[[#This Row],[Fecha de Salida]],"y"),1))</calculatedColumnFormula>
    </tableColumn>
    <tableColumn id="12" xr3:uid="{00000000-0010-0000-0000-00000C000000}" name="Rango de Antigüedad">
      <calculatedColumnFormula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calculatedColumnFormula>
    </tableColumn>
    <tableColumn id="13" xr3:uid="{00000000-0010-0000-0000-00000D000000}" name="Mes de Salida">
      <calculatedColumnFormula>IF((tblEmpleados[[#This Row],[Fecha de Salida]]=""),"",tblEmpleados[[#This Row],[Fecha de Salida]])</calculatedColumnFormula>
    </tableColumn>
    <tableColumn id="14" xr3:uid="{00000000-0010-0000-0000-00000E000000}" name="Observacion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4F46E5"/>
    <pageSetUpPr fitToPage="1"/>
  </sheetPr>
  <dimension ref="B1:H14"/>
  <sheetViews>
    <sheetView showGridLines="0" zoomScale="90" zoomScaleNormal="90" workbookViewId="0"/>
  </sheetViews>
  <sheetFormatPr baseColWidth="10" defaultColWidth="8.83203125" defaultRowHeight="15" x14ac:dyDescent="0.2"/>
  <cols>
    <col min="1" max="1" width="3" customWidth="1"/>
    <col min="2" max="2" width="28" customWidth="1"/>
    <col min="3" max="3" width="16" customWidth="1"/>
    <col min="4" max="4" width="4" customWidth="1"/>
    <col min="5" max="5" width="28" customWidth="1"/>
    <col min="6" max="6" width="16" customWidth="1"/>
    <col min="7" max="7" width="4" customWidth="1"/>
    <col min="8" max="8" width="28" customWidth="1"/>
    <col min="9" max="9" width="16" customWidth="1"/>
  </cols>
  <sheetData>
    <row r="1" spans="2:8" ht="8" customHeight="1" x14ac:dyDescent="0.2"/>
    <row r="2" spans="2:8" ht="26" customHeight="1" x14ac:dyDescent="0.25">
      <c r="B2" s="2" t="s">
        <v>0</v>
      </c>
    </row>
    <row r="3" spans="2:8" x14ac:dyDescent="0.2">
      <c r="B3" s="5" t="s">
        <v>1</v>
      </c>
    </row>
    <row r="5" spans="2:8" x14ac:dyDescent="0.2">
      <c r="B5" s="10" t="s">
        <v>2</v>
      </c>
    </row>
    <row r="6" spans="2:8" ht="24" customHeight="1" x14ac:dyDescent="0.2">
      <c r="B6" s="11" t="s">
        <v>3</v>
      </c>
    </row>
    <row r="7" spans="2:8" ht="28" customHeight="1" x14ac:dyDescent="0.2">
      <c r="B7" s="12">
        <f>IFERROR(COUNTA(tblEmpleados[Id]),0)</f>
        <v>10</v>
      </c>
      <c r="C7" s="5" t="s">
        <v>4</v>
      </c>
    </row>
    <row r="9" spans="2:8" x14ac:dyDescent="0.2">
      <c r="B9" s="10" t="s">
        <v>5</v>
      </c>
    </row>
    <row r="10" spans="2:8" ht="24" customHeight="1" x14ac:dyDescent="0.2">
      <c r="B10" s="11" t="s">
        <v>6</v>
      </c>
      <c r="E10" s="11" t="s">
        <v>7</v>
      </c>
      <c r="H10" s="11" t="s">
        <v>8</v>
      </c>
    </row>
    <row r="11" spans="2:8" ht="24" customHeight="1" x14ac:dyDescent="0.2">
      <c r="B11" s="11" t="s">
        <v>9</v>
      </c>
      <c r="E11" s="11" t="s">
        <v>10</v>
      </c>
      <c r="H11" s="11" t="s">
        <v>11</v>
      </c>
    </row>
    <row r="12" spans="2:8" ht="24" customHeight="1" x14ac:dyDescent="0.2">
      <c r="B12" s="11" t="s">
        <v>12</v>
      </c>
      <c r="E12" s="11" t="s">
        <v>13</v>
      </c>
    </row>
    <row r="14" spans="2:8" x14ac:dyDescent="0.2">
      <c r="B14" s="5" t="s">
        <v>14</v>
      </c>
    </row>
  </sheetData>
  <hyperlinks>
    <hyperlink ref="B6" location="Empleados!A1" tooltip="Open the Empleados table" display="Empleados" xr:uid="{00000000-0004-0000-0000-000000000000}"/>
    <hyperlink ref="B10" location="Dashboard!A1" display="Dashboard" xr:uid="{00000000-0004-0000-0000-000001000000}"/>
    <hyperlink ref="E10" location="'Rotación por Departamento'!A1" display="Rotación por Departamento" xr:uid="{00000000-0004-0000-0000-000002000000}"/>
    <hyperlink ref="H10" location="'Rotación por Tipo de Salida'!A1" display="Rotación por Tipo de Salida" xr:uid="{00000000-0004-0000-0000-000003000000}"/>
    <hyperlink ref="B11" location="'Rotación por Motivo de Salida'!A1" display="Rotación por Motivo de Salida" xr:uid="{00000000-0004-0000-0000-000004000000}"/>
    <hyperlink ref="E11" location="'Rotación por Puesto'!A1" display="Rotación por Puesto" xr:uid="{00000000-0004-0000-0000-000005000000}"/>
    <hyperlink ref="H11" location="'Rotación por Rango de Antigüeda'!A1" display="Rotación por Rango de Antigüedad" xr:uid="{00000000-0004-0000-0000-000006000000}"/>
    <hyperlink ref="B12" location="'Instrucciones de Uso'!A1" display="Instrucciones de Uso" xr:uid="{00000000-0004-0000-0000-000007000000}"/>
    <hyperlink ref="E12" location="Help!A1" display="Help" xr:uid="{00000000-0004-0000-0000-000008000000}"/>
  </hyperlinks>
  <printOptions horizontalCentered="1"/>
  <pageMargins left="0.35" right="0.35" top="0.6" bottom="0.6" header="0.25" footer="0.25"/>
  <pageSetup paperSize="9" fitToHeight="0" orientation="landscape"/>
  <headerFooter>
    <oddFooter>&amp;LRotación de Personal&amp;RPage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sfBtnShowCrudPanel">
              <controlPr defaultSize="0" print="0" autoFill="0" autoPict="0" macro="[0]!modEngine.ShowCrudPanel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7</xdr:col>
                    <xdr:colOff>1219200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2563EB"/>
    <pageSetUpPr fitToPage="1"/>
  </sheetPr>
  <dimension ref="B1:O36"/>
  <sheetViews>
    <sheetView showGridLines="0" zoomScale="90" zoomScaleNormal="90" workbookViewId="0">
      <selection activeCell="H44" sqref="H44"/>
    </sheetView>
  </sheetViews>
  <sheetFormatPr baseColWidth="10" defaultColWidth="8.83203125" defaultRowHeight="15" x14ac:dyDescent="0.2"/>
  <cols>
    <col min="1" max="1" width="3" customWidth="1"/>
    <col min="2" max="2" width="22" customWidth="1"/>
    <col min="3" max="3" width="2" customWidth="1"/>
    <col min="4" max="4" width="22" customWidth="1"/>
    <col min="5" max="5" width="2" customWidth="1"/>
    <col min="6" max="6" width="22" customWidth="1"/>
    <col min="7" max="7" width="2" customWidth="1"/>
    <col min="8" max="8" width="22" customWidth="1"/>
    <col min="9" max="9" width="2" customWidth="1"/>
    <col min="10" max="10" width="3" customWidth="1"/>
    <col min="11" max="11" width="24" customWidth="1"/>
    <col min="12" max="12" width="14" customWidth="1"/>
    <col min="13" max="13" width="3" customWidth="1"/>
    <col min="14" max="14" width="24" customWidth="1"/>
    <col min="15" max="15" width="14" customWidth="1"/>
  </cols>
  <sheetData>
    <row r="1" spans="2:15" ht="8" customHeight="1" x14ac:dyDescent="0.2"/>
    <row r="2" spans="2:15" ht="30" customHeight="1" x14ac:dyDescent="0.35">
      <c r="B2" s="13" t="s">
        <v>15</v>
      </c>
    </row>
    <row r="3" spans="2:15" x14ac:dyDescent="0.2">
      <c r="B3" s="5" t="s">
        <v>16</v>
      </c>
    </row>
    <row r="5" spans="2:15" x14ac:dyDescent="0.2">
      <c r="B5" s="7" t="s">
        <v>17</v>
      </c>
      <c r="D5" s="7" t="s">
        <v>18</v>
      </c>
      <c r="F5" s="7" t="s">
        <v>19</v>
      </c>
      <c r="H5" s="7" t="s">
        <v>20</v>
      </c>
    </row>
    <row r="6" spans="2:15" ht="34" customHeight="1" x14ac:dyDescent="0.2">
      <c r="B6" s="6">
        <f>IFERROR(COUNTA(tblEmpleados[Id]),0)</f>
        <v>10</v>
      </c>
      <c r="D6" s="6">
        <f>IFERROR(COUNTIF(tblEmpleados[Estado],"Activo"),0)</f>
        <v>4</v>
      </c>
      <c r="F6" s="6">
        <f>IFERROR(COUNTIF(tblEmpleados[Estado],"Baja"),0)</f>
        <v>6</v>
      </c>
      <c r="H6" s="18">
        <f>IFERROR(COUNTIF(tblEmpleados[Estado],"Baja")/COUNTA(tblEmpleados[Id])*100,0)</f>
        <v>60</v>
      </c>
    </row>
    <row r="8" spans="2:15" x14ac:dyDescent="0.2">
      <c r="B8" s="7" t="s">
        <v>21</v>
      </c>
    </row>
    <row r="9" spans="2:15" ht="34" customHeight="1" x14ac:dyDescent="0.2">
      <c r="B9" s="17">
        <f ca="1">IFERROR(AVERAGE(tblEmpleados[Antigüedad (meses)]),0)</f>
        <v>52.9</v>
      </c>
    </row>
    <row r="12" spans="2:15" x14ac:dyDescent="0.2">
      <c r="K12" s="10" t="s">
        <v>22</v>
      </c>
      <c r="L12" s="10" t="s">
        <v>23</v>
      </c>
      <c r="N12" s="10" t="s">
        <v>24</v>
      </c>
      <c r="O12" s="10" t="s">
        <v>23</v>
      </c>
    </row>
    <row r="13" spans="2:15" x14ac:dyDescent="0.2">
      <c r="K13" s="5" t="str">
        <f ca="1">IFERROR(INDEX(_xlfn.UNIQUE(_xlfn._xlws.FILTER(tblEmpleados[Rango de Antigüedad],tblEmpleados[Rango de Antigüedad]&lt;&gt;"")),1),"")</f>
        <v>5+ años</v>
      </c>
      <c r="L13" s="3">
        <f ca="1">IF(K13="","",COUNTIF(tblEmpleados[Rango de Antigüedad],K13))</f>
        <v>4</v>
      </c>
      <c r="N13" s="5" t="str">
        <f>IFERROR(INDEX(_xlfn.UNIQUE(_xlfn._xlws.FILTER(tblEmpleados[Departamento],tblEmpleados[Departamento]&lt;&gt;"")),1),"")</f>
        <v>Administración</v>
      </c>
      <c r="O13" s="3">
        <f>IF(N13="","",COUNTIF(tblEmpleados[Departamento],N13))</f>
        <v>1</v>
      </c>
    </row>
    <row r="14" spans="2:15" x14ac:dyDescent="0.2">
      <c r="K14" s="5" t="str">
        <f ca="1">IFERROR(INDEX(_xlfn.UNIQUE(_xlfn._xlws.FILTER(tblEmpleados[Rango de Antigüedad],tblEmpleados[Rango de Antigüedad]&lt;&gt;"")),2),"")</f>
        <v>3-5 años</v>
      </c>
      <c r="L14" s="3">
        <f ca="1">IF(K14="","",COUNTIF(tblEmpleados[Rango de Antigüedad],K14))</f>
        <v>3</v>
      </c>
      <c r="N14" s="5" t="str">
        <f>IFERROR(INDEX(_xlfn.UNIQUE(_xlfn._xlws.FILTER(tblEmpleados[Departamento],tblEmpleados[Departamento]&lt;&gt;"")),2),"")</f>
        <v>Operaciones</v>
      </c>
      <c r="O14" s="3">
        <f>IF(N14="","",COUNTIF(tblEmpleados[Departamento],N14))</f>
        <v>1</v>
      </c>
    </row>
    <row r="15" spans="2:15" x14ac:dyDescent="0.2">
      <c r="K15" s="5" t="str">
        <f ca="1">IFERROR(INDEX(_xlfn.UNIQUE(_xlfn._xlws.FILTER(tblEmpleados[Rango de Antigüedad],tblEmpleados[Rango de Antigüedad]&lt;&gt;"")),3),"")</f>
        <v>1-2 años</v>
      </c>
      <c r="L15" s="3">
        <f ca="1">IF(K15="","",COUNTIF(tblEmpleados[Rango de Antigüedad],K15))</f>
        <v>3</v>
      </c>
      <c r="N15" s="5" t="str">
        <f>IFERROR(INDEX(_xlfn.UNIQUE(_xlfn._xlws.FILTER(tblEmpleados[Departamento],tblEmpleados[Departamento]&lt;&gt;"")),3),"")</f>
        <v>Tecnología</v>
      </c>
      <c r="O15" s="3">
        <f>IF(N15="","",COUNTIF(tblEmpleados[Departamento],N15))</f>
        <v>2</v>
      </c>
    </row>
    <row r="16" spans="2:15" x14ac:dyDescent="0.2">
      <c r="K16" s="5" t="str">
        <f ca="1">IFERROR(INDEX(_xlfn.UNIQUE(_xlfn._xlws.FILTER(tblEmpleados[Rango de Antigüedad],tblEmpleados[Rango de Antigüedad]&lt;&gt;"")),4),"")</f>
        <v/>
      </c>
      <c r="L16" s="3" t="str">
        <f ca="1">IF(K16="","",COUNTIF(tblEmpleados[Rango de Antigüedad],K16))</f>
        <v/>
      </c>
      <c r="N16" s="5" t="str">
        <f>IFERROR(INDEX(_xlfn.UNIQUE(_xlfn._xlws.FILTER(tblEmpleados[Departamento],tblEmpleados[Departamento]&lt;&gt;"")),4),"")</f>
        <v>Marketing</v>
      </c>
      <c r="O16" s="3">
        <f>IF(N16="","",COUNTIF(tblEmpleados[Departamento],N16))</f>
        <v>1</v>
      </c>
    </row>
    <row r="17" spans="11:15" x14ac:dyDescent="0.2">
      <c r="K17" s="5" t="str">
        <f ca="1">IFERROR(INDEX(_xlfn.UNIQUE(_xlfn._xlws.FILTER(tblEmpleados[Rango de Antigüedad],tblEmpleados[Rango de Antigüedad]&lt;&gt;"")),5),"")</f>
        <v/>
      </c>
      <c r="L17" s="3" t="str">
        <f ca="1">IF(K17="","",COUNTIF(tblEmpleados[Rango de Antigüedad],K17))</f>
        <v/>
      </c>
      <c r="N17" s="5" t="str">
        <f>IFERROR(INDEX(_xlfn.UNIQUE(_xlfn._xlws.FILTER(tblEmpleados[Departamento],tblEmpleados[Departamento]&lt;&gt;"")),5),"")</f>
        <v>Ventas</v>
      </c>
      <c r="O17" s="3">
        <f>IF(N17="","",COUNTIF(tblEmpleados[Departamento],N17))</f>
        <v>2</v>
      </c>
    </row>
    <row r="18" spans="11:15" x14ac:dyDescent="0.2">
      <c r="K18" s="5" t="str">
        <f ca="1">IFERROR(INDEX(_xlfn.UNIQUE(_xlfn._xlws.FILTER(tblEmpleados[Rango de Antigüedad],tblEmpleados[Rango de Antigüedad]&lt;&gt;"")),6),"")</f>
        <v/>
      </c>
      <c r="L18" s="3" t="str">
        <f ca="1">IF(K18="","",COUNTIF(tblEmpleados[Rango de Antigüedad],K18))</f>
        <v/>
      </c>
      <c r="N18" s="5" t="str">
        <f>IFERROR(INDEX(_xlfn.UNIQUE(_xlfn._xlws.FILTER(tblEmpleados[Departamento],tblEmpleados[Departamento]&lt;&gt;"")),6),"")</f>
        <v>Recursos Humanos</v>
      </c>
      <c r="O18" s="3">
        <f>IF(N18="","",COUNTIF(tblEmpleados[Departamento],N18))</f>
        <v>1</v>
      </c>
    </row>
    <row r="19" spans="11:15" x14ac:dyDescent="0.2">
      <c r="K19" s="5" t="str">
        <f ca="1">IFERROR(INDEX(_xlfn.UNIQUE(_xlfn._xlws.FILTER(tblEmpleados[Rango de Antigüedad],tblEmpleados[Rango de Antigüedad]&lt;&gt;"")),7),"")</f>
        <v/>
      </c>
      <c r="L19" s="3" t="str">
        <f ca="1">IF(K19="","",COUNTIF(tblEmpleados[Rango de Antigüedad],K19))</f>
        <v/>
      </c>
      <c r="N19" s="5" t="str">
        <f>IFERROR(INDEX(_xlfn.UNIQUE(_xlfn._xlws.FILTER(tblEmpleados[Departamento],tblEmpleados[Departamento]&lt;&gt;"")),7),"")</f>
        <v>Logística</v>
      </c>
      <c r="O19" s="3">
        <f>IF(N19="","",COUNTIF(tblEmpleados[Departamento],N19))</f>
        <v>1</v>
      </c>
    </row>
    <row r="20" spans="11:15" x14ac:dyDescent="0.2">
      <c r="K20" s="5" t="str">
        <f ca="1">IFERROR(INDEX(_xlfn.UNIQUE(_xlfn._xlws.FILTER(tblEmpleados[Rango de Antigüedad],tblEmpleados[Rango de Antigüedad]&lt;&gt;"")),8),"")</f>
        <v/>
      </c>
      <c r="L20" s="3" t="str">
        <f ca="1">IF(K20="","",COUNTIF(tblEmpleados[Rango de Antigüedad],K20))</f>
        <v/>
      </c>
      <c r="N20" s="5" t="str">
        <f>IFERROR(INDEX(_xlfn.UNIQUE(_xlfn._xlws.FILTER(tblEmpleados[Departamento],tblEmpleados[Departamento]&lt;&gt;"")),8),"")</f>
        <v>Finanzas</v>
      </c>
      <c r="O20" s="3">
        <f>IF(N20="","",COUNTIF(tblEmpleados[Departamento],N20))</f>
        <v>1</v>
      </c>
    </row>
    <row r="27" spans="11:15" x14ac:dyDescent="0.2">
      <c r="K27" s="10" t="s">
        <v>25</v>
      </c>
      <c r="L27" s="10" t="s">
        <v>23</v>
      </c>
      <c r="N27" s="10" t="s">
        <v>26</v>
      </c>
      <c r="O27" s="10" t="s">
        <v>23</v>
      </c>
    </row>
    <row r="28" spans="11:15" x14ac:dyDescent="0.2">
      <c r="K28" s="5" t="str">
        <f>IFERROR(INDEX(_xlfn.UNIQUE(_xlfn._xlws.FILTER(tblEmpleados[Motivo de Salida],tblEmpleados[Motivo de Salida]&lt;&gt;"")),1),"")</f>
        <v>Mejor oferta laboral</v>
      </c>
      <c r="L28" s="3">
        <f>IF(K28="","",COUNTIF(tblEmpleados[Motivo de Salida],K28))</f>
        <v>1</v>
      </c>
      <c r="N28" s="5">
        <f>IFERROR(INDEX(_xlfn.UNIQUE(_xlfn._xlws.FILTER(tblEmpleados[Mes de Salida],tblEmpleados[Mes de Salida]&lt;&gt;"")),1),"")</f>
        <v>45991</v>
      </c>
      <c r="O28" s="3">
        <f>IF(N28="","",COUNTIF(tblEmpleados[Mes de Salida],N28))</f>
        <v>1</v>
      </c>
    </row>
    <row r="29" spans="11:15" x14ac:dyDescent="0.2">
      <c r="K29" s="5" t="str">
        <f>IFERROR(INDEX(_xlfn.UNIQUE(_xlfn._xlws.FILTER(tblEmpleados[Motivo de Salida],tblEmpleados[Motivo de Salida]&lt;&gt;"")),2),"")</f>
        <v>Reestructuración organizacional</v>
      </c>
      <c r="L29" s="3">
        <f>IF(K29="","",COUNTIF(tblEmpleados[Motivo de Salida],K29))</f>
        <v>1</v>
      </c>
      <c r="N29" s="5">
        <f>IFERROR(INDEX(_xlfn.UNIQUE(_xlfn._xlws.FILTER(tblEmpleados[Mes de Salida],tblEmpleados[Mes de Salida]&lt;&gt;"")),2),"")</f>
        <v>45884</v>
      </c>
      <c r="O29" s="3">
        <f>IF(N29="","",COUNTIF(tblEmpleados[Mes de Salida],N29))</f>
        <v>1</v>
      </c>
    </row>
    <row r="30" spans="11:15" x14ac:dyDescent="0.2">
      <c r="K30" s="5" t="str">
        <f>IFERROR(INDEX(_xlfn.UNIQUE(_xlfn._xlws.FILTER(tblEmpleados[Motivo de Salida],tblEmpleados[Motivo de Salida]&lt;&gt;"")),3),"")</f>
        <v>Jubilación por edad</v>
      </c>
      <c r="L30" s="3">
        <f>IF(K30="","",COUNTIF(tblEmpleados[Motivo de Salida],K30))</f>
        <v>1</v>
      </c>
      <c r="N30" s="5">
        <f>IFERROR(INDEX(_xlfn.UNIQUE(_xlfn._xlws.FILTER(tblEmpleados[Mes de Salida],tblEmpleados[Mes de Salida]&lt;&gt;"")),3),"")</f>
        <v>45777</v>
      </c>
      <c r="O30" s="3">
        <f>IF(N30="","",COUNTIF(tblEmpleados[Mes de Salida],N30))</f>
        <v>1</v>
      </c>
    </row>
    <row r="31" spans="11:15" x14ac:dyDescent="0.2">
      <c r="K31" s="5" t="str">
        <f>IFERROR(INDEX(_xlfn.UNIQUE(_xlfn._xlws.FILTER(tblEmpleados[Motivo de Salida],tblEmpleados[Motivo de Salida]&lt;&gt;"")),4),"")</f>
        <v>Fin de contrato temporal</v>
      </c>
      <c r="L31" s="3">
        <f>IF(K31="","",COUNTIF(tblEmpleados[Motivo de Salida],K31))</f>
        <v>1</v>
      </c>
      <c r="N31" s="5">
        <f>IFERROR(INDEX(_xlfn.UNIQUE(_xlfn._xlws.FILTER(tblEmpleados[Mes de Salida],tblEmpleados[Mes de Salida]&lt;&gt;"")),4),"")</f>
        <v>45910</v>
      </c>
      <c r="O31" s="3">
        <f>IF(N31="","",COUNTIF(tblEmpleados[Mes de Salida],N31))</f>
        <v>1</v>
      </c>
    </row>
    <row r="32" spans="11:15" x14ac:dyDescent="0.2">
      <c r="K32" s="5" t="str">
        <f>IFERROR(INDEX(_xlfn.UNIQUE(_xlfn._xlws.FILTER(tblEmpleados[Motivo de Salida],tblEmpleados[Motivo de Salida]&lt;&gt;"")),5),"")</f>
        <v>Cambio de residencia</v>
      </c>
      <c r="L32" s="3">
        <f>IF(K32="","",COUNTIF(tblEmpleados[Motivo de Salida],K32))</f>
        <v>1</v>
      </c>
      <c r="N32" s="5">
        <f>IFERROR(INDEX(_xlfn.UNIQUE(_xlfn._xlws.FILTER(tblEmpleados[Mes de Salida],tblEmpleados[Mes de Salida]&lt;&gt;"")),5),"")</f>
        <v>45996</v>
      </c>
      <c r="O32" s="3">
        <f>IF(N32="","",COUNTIF(tblEmpleados[Mes de Salida],N32))</f>
        <v>1</v>
      </c>
    </row>
    <row r="33" spans="2:15" x14ac:dyDescent="0.2">
      <c r="K33" s="5" t="str">
        <f>IFERROR(INDEX(_xlfn.UNIQUE(_xlfn._xlws.FILTER(tblEmpleados[Motivo de Salida],tblEmpleados[Motivo de Salida]&lt;&gt;"")),6),"")</f>
        <v>Razones personales</v>
      </c>
      <c r="L33" s="3">
        <f>IF(K33="","",COUNTIF(tblEmpleados[Motivo de Salida],K33))</f>
        <v>1</v>
      </c>
      <c r="N33" s="5">
        <f>IFERROR(INDEX(_xlfn.UNIQUE(_xlfn._xlws.FILTER(tblEmpleados[Mes de Salida],tblEmpleados[Mes de Salida]&lt;&gt;"")),6),"")</f>
        <v>45950</v>
      </c>
      <c r="O33" s="3">
        <f>IF(N33="","",COUNTIF(tblEmpleados[Mes de Salida],N33))</f>
        <v>1</v>
      </c>
    </row>
    <row r="34" spans="2:15" x14ac:dyDescent="0.2">
      <c r="K34" s="5" t="str">
        <f>IFERROR(INDEX(_xlfn.UNIQUE(_xlfn._xlws.FILTER(tblEmpleados[Motivo de Salida],tblEmpleados[Motivo de Salida]&lt;&gt;"")),7),"")</f>
        <v/>
      </c>
      <c r="L34" s="3" t="str">
        <f>IF(K34="","",COUNTIF(tblEmpleados[Motivo de Salida],K34))</f>
        <v/>
      </c>
      <c r="N34" s="5" t="str">
        <f>IFERROR(INDEX(_xlfn.UNIQUE(_xlfn._xlws.FILTER(tblEmpleados[Mes de Salida],tblEmpleados[Mes de Salida]&lt;&gt;"")),7),"")</f>
        <v/>
      </c>
      <c r="O34" s="3" t="str">
        <f>IF(N34="","",COUNTIF(tblEmpleados[Mes de Salida],N34))</f>
        <v/>
      </c>
    </row>
    <row r="35" spans="2:15" x14ac:dyDescent="0.2">
      <c r="K35" s="5" t="str">
        <f>IFERROR(INDEX(_xlfn.UNIQUE(_xlfn._xlws.FILTER(tblEmpleados[Motivo de Salida],tblEmpleados[Motivo de Salida]&lt;&gt;"")),8),"")</f>
        <v/>
      </c>
      <c r="L35" s="3" t="str">
        <f>IF(K35="","",COUNTIF(tblEmpleados[Motivo de Salida],K35))</f>
        <v/>
      </c>
      <c r="N35" s="5" t="str">
        <f>IFERROR(INDEX(_xlfn.UNIQUE(_xlfn._xlws.FILTER(tblEmpleados[Mes de Salida],tblEmpleados[Mes de Salida]&lt;&gt;"")),8),"")</f>
        <v/>
      </c>
      <c r="O35" s="3" t="str">
        <f>IF(N35="","",COUNTIF(tblEmpleados[Mes de Salida],N35))</f>
        <v/>
      </c>
    </row>
    <row r="36" spans="2:15" x14ac:dyDescent="0.2">
      <c r="B36" s="4" t="s">
        <v>27</v>
      </c>
    </row>
  </sheetData>
  <hyperlinks>
    <hyperlink ref="B36" location="Home!A1" display="← Back to Home" xr:uid="{00000000-0004-0000-0100-000000000000}"/>
  </hyperlinks>
  <printOptions horizontalCentered="1"/>
  <pageMargins left="0.35" right="0.35" top="0.6" bottom="0.6" header="0.25" footer="0.25"/>
  <pageSetup paperSize="9" fitToHeight="0" orientation="landscape"/>
  <headerFooter>
    <oddFooter>&amp;LRotación de Personal&amp;RPage &amp;P of &amp;N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6366F1"/>
    <pageSetUpPr fitToPage="1"/>
  </sheetPr>
  <dimension ref="A1:N12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hidden="1" customWidth="1"/>
    <col min="2" max="4" width="22" customWidth="1"/>
    <col min="5" max="5" width="20" customWidth="1"/>
    <col min="6" max="6" width="19" customWidth="1"/>
    <col min="7" max="10" width="22" customWidth="1"/>
    <col min="11" max="11" width="21" customWidth="1"/>
    <col min="12" max="12" width="23" customWidth="1"/>
    <col min="13" max="14" width="22" customWidth="1"/>
  </cols>
  <sheetData>
    <row r="1" spans="1:14" ht="20" customHeight="1" x14ac:dyDescent="0.2">
      <c r="A1" s="1" t="s">
        <v>28</v>
      </c>
      <c r="B1" s="1" t="s">
        <v>29</v>
      </c>
      <c r="C1" s="1" t="s">
        <v>30</v>
      </c>
      <c r="D1" s="1" t="s">
        <v>31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36</v>
      </c>
      <c r="J1" s="1" t="s">
        <v>37</v>
      </c>
      <c r="K1" s="1" t="s">
        <v>38</v>
      </c>
      <c r="L1" s="1" t="s">
        <v>39</v>
      </c>
      <c r="M1" s="1" t="s">
        <v>40</v>
      </c>
      <c r="N1" s="1" t="s">
        <v>41</v>
      </c>
    </row>
    <row r="2" spans="1:14" x14ac:dyDescent="0.2">
      <c r="A2" s="3">
        <v>1</v>
      </c>
      <c r="B2" s="14" t="s">
        <v>42</v>
      </c>
      <c r="C2" s="14" t="s">
        <v>43</v>
      </c>
      <c r="D2" s="14" t="s">
        <v>44</v>
      </c>
      <c r="E2" s="15">
        <v>44270</v>
      </c>
      <c r="F2" s="15"/>
      <c r="G2" t="str">
        <f>IF((tblEmpleados[[#This Row],[Fecha de Salida]]=""),"Activo","Baja")</f>
        <v>Activo</v>
      </c>
      <c r="H2" s="14"/>
      <c r="I2" s="14"/>
      <c r="J2" s="3">
        <f ca="1">IF((tblEmpleados[[#This Row],[Fecha de Salida]]=""),ROUND(DATEDIF(tblEmpleados[[#This Row],[Fecha de Ingreso]],TODAY(),"m"),1),ROUND(DATEDIF(tblEmpleados[[#This Row],[Fecha de Ingreso]],tblEmpleados[[#This Row],[Fecha de Salida]],"m"),1))</f>
        <v>63</v>
      </c>
      <c r="K2" s="3">
        <f ca="1">IF((tblEmpleados[[#This Row],[Fecha de Salida]]=""),ROUND(DATEDIF(tblEmpleados[[#This Row],[Fecha de Ingreso]],TODAY(),"y"),1),ROUND(DATEDIF(tblEmpleados[[#This Row],[Fecha de Ingreso]],tblEmpleados[[#This Row],[Fecha de Salida]],"y"),1))</f>
        <v>5</v>
      </c>
      <c r="L2" t="str">
        <f ca="1"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f>
        <v>5+ años</v>
      </c>
      <c r="M2" s="16" t="str">
        <f>IF((tblEmpleados[[#This Row],[Fecha de Salida]]=""),"",tblEmpleados[[#This Row],[Fecha de Salida]])</f>
        <v/>
      </c>
      <c r="N2" s="14"/>
    </row>
    <row r="3" spans="1:14" x14ac:dyDescent="0.2">
      <c r="A3" s="3">
        <v>2</v>
      </c>
      <c r="B3" s="14" t="s">
        <v>45</v>
      </c>
      <c r="C3" s="14" t="s">
        <v>46</v>
      </c>
      <c r="D3" s="14" t="s">
        <v>47</v>
      </c>
      <c r="E3" s="15">
        <v>44571</v>
      </c>
      <c r="F3" s="15"/>
      <c r="G3" t="str">
        <f>IF((tblEmpleados[[#This Row],[Fecha de Salida]]=""),"Activo","Baja")</f>
        <v>Activo</v>
      </c>
      <c r="H3" s="14"/>
      <c r="I3" s="14"/>
      <c r="J3" s="3">
        <f ca="1">IF((tblEmpleados[[#This Row],[Fecha de Salida]]=""),ROUND(DATEDIF(tblEmpleados[[#This Row],[Fecha de Ingreso]],TODAY(),"m"),1),ROUND(DATEDIF(tblEmpleados[[#This Row],[Fecha de Ingreso]],tblEmpleados[[#This Row],[Fecha de Salida]],"m"),1))</f>
        <v>53</v>
      </c>
      <c r="K3" s="3">
        <f ca="1">IF((tblEmpleados[[#This Row],[Fecha de Salida]]=""),ROUND(DATEDIF(tblEmpleados[[#This Row],[Fecha de Ingreso]],TODAY(),"y"),1),ROUND(DATEDIF(tblEmpleados[[#This Row],[Fecha de Ingreso]],tblEmpleados[[#This Row],[Fecha de Salida]],"y"),1))</f>
        <v>4</v>
      </c>
      <c r="L3" t="str">
        <f ca="1"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f>
        <v>3-5 años</v>
      </c>
      <c r="M3" s="16" t="str">
        <f>IF((tblEmpleados[[#This Row],[Fecha de Salida]]=""),"",tblEmpleados[[#This Row],[Fecha de Salida]])</f>
        <v/>
      </c>
      <c r="N3" s="14"/>
    </row>
    <row r="4" spans="1:14" x14ac:dyDescent="0.2">
      <c r="A4" s="3">
        <v>3</v>
      </c>
      <c r="B4" s="14" t="s">
        <v>48</v>
      </c>
      <c r="C4" s="14" t="s">
        <v>49</v>
      </c>
      <c r="D4" s="14" t="s">
        <v>50</v>
      </c>
      <c r="E4" s="15">
        <v>45170</v>
      </c>
      <c r="F4" s="15"/>
      <c r="G4" t="str">
        <f>IF((tblEmpleados[[#This Row],[Fecha de Salida]]=""),"Activo","Baja")</f>
        <v>Activo</v>
      </c>
      <c r="H4" s="14"/>
      <c r="I4" s="14"/>
      <c r="J4" s="3">
        <f ca="1">IF((tblEmpleados[[#This Row],[Fecha de Salida]]=""),ROUND(DATEDIF(tblEmpleados[[#This Row],[Fecha de Ingreso]],TODAY(),"m"),1),ROUND(DATEDIF(tblEmpleados[[#This Row],[Fecha de Ingreso]],tblEmpleados[[#This Row],[Fecha de Salida]],"m"),1))</f>
        <v>33</v>
      </c>
      <c r="K4" s="3">
        <f ca="1">IF((tblEmpleados[[#This Row],[Fecha de Salida]]=""),ROUND(DATEDIF(tblEmpleados[[#This Row],[Fecha de Ingreso]],TODAY(),"y"),1),ROUND(DATEDIF(tblEmpleados[[#This Row],[Fecha de Ingreso]],tblEmpleados[[#This Row],[Fecha de Salida]],"y"),1))</f>
        <v>2</v>
      </c>
      <c r="L4" t="str">
        <f ca="1"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f>
        <v>1-2 años</v>
      </c>
      <c r="M4" s="16" t="str">
        <f>IF((tblEmpleados[[#This Row],[Fecha de Salida]]=""),"",tblEmpleados[[#This Row],[Fecha de Salida]])</f>
        <v/>
      </c>
      <c r="N4" s="14"/>
    </row>
    <row r="5" spans="1:14" x14ac:dyDescent="0.2">
      <c r="A5" s="3">
        <v>4</v>
      </c>
      <c r="B5" s="14" t="s">
        <v>51</v>
      </c>
      <c r="C5" s="14" t="s">
        <v>52</v>
      </c>
      <c r="D5" s="14" t="s">
        <v>53</v>
      </c>
      <c r="E5" s="15">
        <v>45323</v>
      </c>
      <c r="F5" s="15"/>
      <c r="G5" t="str">
        <f>IF((tblEmpleados[[#This Row],[Fecha de Salida]]=""),"Activo","Baja")</f>
        <v>Activo</v>
      </c>
      <c r="H5" s="14"/>
      <c r="I5" s="14"/>
      <c r="J5" s="3">
        <f ca="1">IF((tblEmpleados[[#This Row],[Fecha de Salida]]=""),ROUND(DATEDIF(tblEmpleados[[#This Row],[Fecha de Ingreso]],TODAY(),"m"),1),ROUND(DATEDIF(tblEmpleados[[#This Row],[Fecha de Ingreso]],tblEmpleados[[#This Row],[Fecha de Salida]],"m"),1))</f>
        <v>28</v>
      </c>
      <c r="K5" s="3">
        <f ca="1">IF((tblEmpleados[[#This Row],[Fecha de Salida]]=""),ROUND(DATEDIF(tblEmpleados[[#This Row],[Fecha de Ingreso]],TODAY(),"y"),1),ROUND(DATEDIF(tblEmpleados[[#This Row],[Fecha de Ingreso]],tblEmpleados[[#This Row],[Fecha de Salida]],"y"),1))</f>
        <v>2</v>
      </c>
      <c r="L5" t="str">
        <f ca="1"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f>
        <v>1-2 años</v>
      </c>
      <c r="M5" s="16" t="str">
        <f>IF((tblEmpleados[[#This Row],[Fecha de Salida]]=""),"",tblEmpleados[[#This Row],[Fecha de Salida]])</f>
        <v/>
      </c>
      <c r="N5" s="14"/>
    </row>
    <row r="6" spans="1:14" x14ac:dyDescent="0.2">
      <c r="A6" s="3">
        <v>5</v>
      </c>
      <c r="B6" s="14" t="s">
        <v>54</v>
      </c>
      <c r="C6" s="14" t="s">
        <v>55</v>
      </c>
      <c r="D6" s="14" t="s">
        <v>56</v>
      </c>
      <c r="E6" s="15">
        <v>44013</v>
      </c>
      <c r="F6" s="15">
        <v>45991</v>
      </c>
      <c r="G6" t="str">
        <f>IF((tblEmpleados[[#This Row],[Fecha de Salida]]=""),"Activo","Baja")</f>
        <v>Baja</v>
      </c>
      <c r="H6" s="14" t="s">
        <v>57</v>
      </c>
      <c r="I6" s="14" t="s">
        <v>58</v>
      </c>
      <c r="J6" s="3">
        <f ca="1">IF((tblEmpleados[[#This Row],[Fecha de Salida]]=""),ROUND(DATEDIF(tblEmpleados[[#This Row],[Fecha de Ingreso]],TODAY(),"m"),1),ROUND(DATEDIF(tblEmpleados[[#This Row],[Fecha de Ingreso]],tblEmpleados[[#This Row],[Fecha de Salida]],"m"),1))</f>
        <v>64</v>
      </c>
      <c r="K6" s="3">
        <f ca="1">IF((tblEmpleados[[#This Row],[Fecha de Salida]]=""),ROUND(DATEDIF(tblEmpleados[[#This Row],[Fecha de Ingreso]],TODAY(),"y"),1),ROUND(DATEDIF(tblEmpleados[[#This Row],[Fecha de Ingreso]],tblEmpleados[[#This Row],[Fecha de Salida]],"y"),1))</f>
        <v>5</v>
      </c>
      <c r="L6" t="str">
        <f ca="1"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f>
        <v>5+ años</v>
      </c>
      <c r="M6" s="16">
        <f>IF((tblEmpleados[[#This Row],[Fecha de Salida]]=""),"",tblEmpleados[[#This Row],[Fecha de Salida]])</f>
        <v>45991</v>
      </c>
      <c r="N6" s="14" t="s">
        <v>59</v>
      </c>
    </row>
    <row r="7" spans="1:14" x14ac:dyDescent="0.2">
      <c r="A7" s="3">
        <v>6</v>
      </c>
      <c r="B7" s="14" t="s">
        <v>60</v>
      </c>
      <c r="C7" s="14" t="s">
        <v>61</v>
      </c>
      <c r="D7" s="14" t="s">
        <v>62</v>
      </c>
      <c r="E7" s="15">
        <v>43605</v>
      </c>
      <c r="F7" s="15">
        <v>45884</v>
      </c>
      <c r="G7" t="str">
        <f>IF((tblEmpleados[[#This Row],[Fecha de Salida]]=""),"Activo","Baja")</f>
        <v>Baja</v>
      </c>
      <c r="H7" s="14" t="s">
        <v>63</v>
      </c>
      <c r="I7" s="14" t="s">
        <v>64</v>
      </c>
      <c r="J7" s="3">
        <f ca="1">IF((tblEmpleados[[#This Row],[Fecha de Salida]]=""),ROUND(DATEDIF(tblEmpleados[[#This Row],[Fecha de Ingreso]],TODAY(),"m"),1),ROUND(DATEDIF(tblEmpleados[[#This Row],[Fecha de Ingreso]],tblEmpleados[[#This Row],[Fecha de Salida]],"m"),1))</f>
        <v>74</v>
      </c>
      <c r="K7" s="3">
        <f ca="1">IF((tblEmpleados[[#This Row],[Fecha de Salida]]=""),ROUND(DATEDIF(tblEmpleados[[#This Row],[Fecha de Ingreso]],TODAY(),"y"),1),ROUND(DATEDIF(tblEmpleados[[#This Row],[Fecha de Ingreso]],tblEmpleados[[#This Row],[Fecha de Salida]],"y"),1))</f>
        <v>6</v>
      </c>
      <c r="L7" t="str">
        <f ca="1"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f>
        <v>5+ años</v>
      </c>
      <c r="M7" s="16">
        <f>IF((tblEmpleados[[#This Row],[Fecha de Salida]]=""),"",tblEmpleados[[#This Row],[Fecha de Salida]])</f>
        <v>45884</v>
      </c>
      <c r="N7" s="14"/>
    </row>
    <row r="8" spans="1:14" x14ac:dyDescent="0.2">
      <c r="A8" s="3">
        <v>7</v>
      </c>
      <c r="B8" s="14" t="s">
        <v>65</v>
      </c>
      <c r="C8" s="14" t="s">
        <v>55</v>
      </c>
      <c r="D8" s="14" t="s">
        <v>66</v>
      </c>
      <c r="E8" s="15">
        <v>43145</v>
      </c>
      <c r="F8" s="15">
        <v>45777</v>
      </c>
      <c r="G8" t="str">
        <f>IF((tblEmpleados[[#This Row],[Fecha de Salida]]=""),"Activo","Baja")</f>
        <v>Baja</v>
      </c>
      <c r="H8" s="14" t="s">
        <v>67</v>
      </c>
      <c r="I8" s="14" t="s">
        <v>68</v>
      </c>
      <c r="J8" s="3">
        <f ca="1">IF((tblEmpleados[[#This Row],[Fecha de Salida]]=""),ROUND(DATEDIF(tblEmpleados[[#This Row],[Fecha de Ingreso]],TODAY(),"m"),1),ROUND(DATEDIF(tblEmpleados[[#This Row],[Fecha de Ingreso]],tblEmpleados[[#This Row],[Fecha de Salida]],"m"),1))</f>
        <v>86</v>
      </c>
      <c r="K8" s="3">
        <f ca="1">IF((tblEmpleados[[#This Row],[Fecha de Salida]]=""),ROUND(DATEDIF(tblEmpleados[[#This Row],[Fecha de Ingreso]],TODAY(),"y"),1),ROUND(DATEDIF(tblEmpleados[[#This Row],[Fecha de Ingreso]],tblEmpleados[[#This Row],[Fecha de Salida]],"y"),1))</f>
        <v>7</v>
      </c>
      <c r="L8" t="str">
        <f ca="1"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f>
        <v>5+ años</v>
      </c>
      <c r="M8" s="16">
        <f>IF((tblEmpleados[[#This Row],[Fecha de Salida]]=""),"",tblEmpleados[[#This Row],[Fecha de Salida]])</f>
        <v>45777</v>
      </c>
      <c r="N8" s="14"/>
    </row>
    <row r="9" spans="1:14" x14ac:dyDescent="0.2">
      <c r="A9" s="3">
        <v>8</v>
      </c>
      <c r="B9" s="14" t="s">
        <v>69</v>
      </c>
      <c r="C9" s="14" t="s">
        <v>49</v>
      </c>
      <c r="D9" s="14" t="s">
        <v>50</v>
      </c>
      <c r="E9" s="15">
        <v>44621</v>
      </c>
      <c r="F9" s="15">
        <v>45910</v>
      </c>
      <c r="G9" t="str">
        <f>IF((tblEmpleados[[#This Row],[Fecha de Salida]]=""),"Activo","Baja")</f>
        <v>Baja</v>
      </c>
      <c r="H9" s="14" t="s">
        <v>70</v>
      </c>
      <c r="I9" s="14" t="s">
        <v>71</v>
      </c>
      <c r="J9" s="3">
        <f ca="1">IF((tblEmpleados[[#This Row],[Fecha de Salida]]=""),ROUND(DATEDIF(tblEmpleados[[#This Row],[Fecha de Ingreso]],TODAY(),"m"),1),ROUND(DATEDIF(tblEmpleados[[#This Row],[Fecha de Ingreso]],tblEmpleados[[#This Row],[Fecha de Salida]],"m"),1))</f>
        <v>42</v>
      </c>
      <c r="K9" s="3">
        <f ca="1">IF((tblEmpleados[[#This Row],[Fecha de Salida]]=""),ROUND(DATEDIF(tblEmpleados[[#This Row],[Fecha de Ingreso]],TODAY(),"y"),1),ROUND(DATEDIF(tblEmpleados[[#This Row],[Fecha de Ingreso]],tblEmpleados[[#This Row],[Fecha de Salida]],"y"),1))</f>
        <v>3</v>
      </c>
      <c r="L9" t="str">
        <f ca="1"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f>
        <v>3-5 años</v>
      </c>
      <c r="M9" s="16">
        <f>IF((tblEmpleados[[#This Row],[Fecha de Salida]]=""),"",tblEmpleados[[#This Row],[Fecha de Salida]])</f>
        <v>45910</v>
      </c>
      <c r="N9" s="14"/>
    </row>
    <row r="10" spans="1:14" x14ac:dyDescent="0.2">
      <c r="A10" s="3">
        <v>9</v>
      </c>
      <c r="B10" s="14" t="s">
        <v>72</v>
      </c>
      <c r="C10" s="14" t="s">
        <v>73</v>
      </c>
      <c r="D10" s="14" t="s">
        <v>47</v>
      </c>
      <c r="E10" s="15">
        <v>44941</v>
      </c>
      <c r="F10" s="15">
        <v>45996</v>
      </c>
      <c r="G10" t="str">
        <f>IF((tblEmpleados[[#This Row],[Fecha de Salida]]=""),"Activo","Baja")</f>
        <v>Baja</v>
      </c>
      <c r="H10" s="14" t="s">
        <v>74</v>
      </c>
      <c r="I10" s="14" t="s">
        <v>75</v>
      </c>
      <c r="J10" s="3">
        <f ca="1">IF((tblEmpleados[[#This Row],[Fecha de Salida]]=""),ROUND(DATEDIF(tblEmpleados[[#This Row],[Fecha de Ingreso]],TODAY(),"m"),1),ROUND(DATEDIF(tblEmpleados[[#This Row],[Fecha de Ingreso]],tblEmpleados[[#This Row],[Fecha de Salida]],"m"),1))</f>
        <v>34</v>
      </c>
      <c r="K10" s="3">
        <f ca="1">IF((tblEmpleados[[#This Row],[Fecha de Salida]]=""),ROUND(DATEDIF(tblEmpleados[[#This Row],[Fecha de Ingreso]],TODAY(),"y"),1),ROUND(DATEDIF(tblEmpleados[[#This Row],[Fecha de Ingreso]],tblEmpleados[[#This Row],[Fecha de Salida]],"y"),1))</f>
        <v>2</v>
      </c>
      <c r="L10" t="str">
        <f ca="1"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f>
        <v>1-2 años</v>
      </c>
      <c r="M10" s="16">
        <f>IF((tblEmpleados[[#This Row],[Fecha de Salida]]=""),"",tblEmpleados[[#This Row],[Fecha de Salida]])</f>
        <v>45996</v>
      </c>
      <c r="N10" s="14"/>
    </row>
    <row r="11" spans="1:14" x14ac:dyDescent="0.2">
      <c r="A11" s="3">
        <v>10</v>
      </c>
      <c r="B11" s="14" t="s">
        <v>76</v>
      </c>
      <c r="C11" s="14" t="s">
        <v>77</v>
      </c>
      <c r="D11" s="14" t="s">
        <v>78</v>
      </c>
      <c r="E11" s="15">
        <v>44357</v>
      </c>
      <c r="F11" s="15">
        <v>45950</v>
      </c>
      <c r="G11" t="str">
        <f>IF((tblEmpleados[[#This Row],[Fecha de Salida]]=""),"Activo","Baja")</f>
        <v>Baja</v>
      </c>
      <c r="H11" s="14" t="s">
        <v>57</v>
      </c>
      <c r="I11" s="14" t="s">
        <v>79</v>
      </c>
      <c r="J11" s="3">
        <f ca="1">IF((tblEmpleados[[#This Row],[Fecha de Salida]]=""),ROUND(DATEDIF(tblEmpleados[[#This Row],[Fecha de Ingreso]],TODAY(),"m"),1),ROUND(DATEDIF(tblEmpleados[[#This Row],[Fecha de Ingreso]],tblEmpleados[[#This Row],[Fecha de Salida]],"m"),1))</f>
        <v>52</v>
      </c>
      <c r="K11" s="3">
        <f ca="1">IF((tblEmpleados[[#This Row],[Fecha de Salida]]=""),ROUND(DATEDIF(tblEmpleados[[#This Row],[Fecha de Ingreso]],TODAY(),"y"),1),ROUND(DATEDIF(tblEmpleados[[#This Row],[Fecha de Ingreso]],tblEmpleados[[#This Row],[Fecha de Salida]],"y"),1))</f>
        <v>4</v>
      </c>
      <c r="L11" t="str">
        <f ca="1">IF((tblEmpleados[[#This Row],[Antigüedad (meses)]]&lt;6),"0-6 meses",IF((tblEmpleados[[#This Row],[Antigüedad (meses)]]&lt;12),"6-12 meses",IF((tblEmpleados[[#This Row],[Antigüedad (años)]]&lt;3),"1-2 años",IF((tblEmpleados[[#This Row],[Antigüedad (años)]]&lt;5),"3-5 años","5+ años"))))</f>
        <v>3-5 años</v>
      </c>
      <c r="M11" s="16">
        <f>IF((tblEmpleados[[#This Row],[Fecha de Salida]]=""),"",tblEmpleados[[#This Row],[Fecha de Salida]])</f>
        <v>45950</v>
      </c>
      <c r="N11" s="14"/>
    </row>
    <row r="12" spans="1:14" x14ac:dyDescent="0.2">
      <c r="A12" s="4" t="s">
        <v>80</v>
      </c>
    </row>
  </sheetData>
  <sheetProtection sheet="1" scenarios="1" insertRows="0" deleteRows="0" sort="0" autoFilter="0"/>
  <dataValidations count="2">
    <dataValidation type="list" allowBlank="1" showInputMessage="1" showErrorMessage="1" errorTitle="Invalid value" error="The value must be one of: Administración, Operaciones, Tecnología, Marketing, Ventas, Recursos Humanos, Logística, Finanzas." promptTitle="Departamento" prompt="Pick one of the available values." sqref="C2:C511" xr:uid="{00000000-0002-0000-0200-000000000000}">
      <formula1>"Administración,Operaciones,Tecnología,Marketing,Ventas,Recursos Humanos,Logística,Finanzas"</formula1>
    </dataValidation>
    <dataValidation type="list" allowBlank="1" showInputMessage="1" showErrorMessage="1" errorTitle="Invalid value" error="The value must be one of: Voluntaria, Involuntaria, Jubilación, Fin de contrato, Otro." promptTitle="Tipo de Salida" prompt="Pick one of the available values." sqref="H2:H511" xr:uid="{00000000-0002-0000-0200-000001000000}">
      <formula1>"Voluntaria,Involuntaria,Jubilación,Fin de contrato,Otro"</formula1>
    </dataValidation>
  </dataValidations>
  <hyperlinks>
    <hyperlink ref="A12" location="Home!A1" display="Back to Home" xr:uid="{00000000-0004-0000-0200-000000000000}"/>
  </hyperlinks>
  <pageMargins left="0.35" right="0.35" top="0.6" bottom="0.6" header="0.25" footer="0.25"/>
  <pageSetup paperSize="9" fitToHeight="0" orientation="landscape"/>
  <headerFooter>
    <oddFooter>&amp;LRotación de Personal&amp;RPage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sfBtnNew">
              <controlPr defaultSize="0" print="0" autoFill="0" autoPict="0" macro="[0]!modEngine.NewRecord">
                <anchor moveWithCells="1" sizeWithCells="1">
                  <from>
                    <xdr:col>14</xdr:col>
                    <xdr:colOff>152400</xdr:colOff>
                    <xdr:row>0</xdr:row>
                    <xdr:rowOff>50800</xdr:rowOff>
                  </from>
                  <to>
                    <xdr:col>15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sfBtnEdit">
              <controlPr defaultSize="0" print="0" autoFill="0" autoPict="0" macro="[0]!modEngine.EditRecord">
                <anchor moveWithCells="1" sizeWithCells="1">
                  <from>
                    <xdr:col>15</xdr:col>
                    <xdr:colOff>571500</xdr:colOff>
                    <xdr:row>0</xdr:row>
                    <xdr:rowOff>50800</xdr:rowOff>
                  </from>
                  <to>
                    <xdr:col>17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sfBtnDelete">
              <controlPr defaultSize="0" print="0" autoFill="0" autoPict="0" macro="[0]!modEngine.DeleteSelectedRecord">
                <anchor moveWithCells="1" sizeWithCells="1">
                  <from>
                    <xdr:col>17</xdr:col>
                    <xdr:colOff>317500</xdr:colOff>
                    <xdr:row>0</xdr:row>
                    <xdr:rowOff>50800</xdr:rowOff>
                  </from>
                  <to>
                    <xdr:col>18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7C3AED"/>
    <pageSetUpPr fitToPage="1"/>
  </sheetPr>
  <dimension ref="B1:C15"/>
  <sheetViews>
    <sheetView showGridLines="0" zoomScale="90" zoomScaleNormal="90" workbookViewId="0"/>
  </sheetViews>
  <sheetFormatPr baseColWidth="10" defaultColWidth="8.83203125" defaultRowHeight="15" x14ac:dyDescent="0.2"/>
  <cols>
    <col min="1" max="1" width="3" customWidth="1"/>
    <col min="2" max="2" width="15.83203125" bestFit="1" customWidth="1"/>
    <col min="3" max="3" width="9.5" bestFit="1" customWidth="1"/>
  </cols>
  <sheetData>
    <row r="1" spans="2:3" ht="8" customHeight="1" x14ac:dyDescent="0.2"/>
    <row r="2" spans="2:3" ht="18" customHeight="1" x14ac:dyDescent="0.2">
      <c r="B2" s="5" t="s">
        <v>0</v>
      </c>
    </row>
    <row r="3" spans="2:3" ht="30" customHeight="1" x14ac:dyDescent="0.35">
      <c r="B3" s="13" t="s">
        <v>7</v>
      </c>
    </row>
    <row r="4" spans="2:3" x14ac:dyDescent="0.2">
      <c r="B4" s="5" t="s">
        <v>81</v>
      </c>
    </row>
    <row r="5" spans="2:3" x14ac:dyDescent="0.2">
      <c r="B5" s="4" t="s">
        <v>80</v>
      </c>
    </row>
    <row r="6" spans="2:3" x14ac:dyDescent="0.2">
      <c r="B6" s="19" t="s">
        <v>232</v>
      </c>
      <c r="C6" t="s">
        <v>233</v>
      </c>
    </row>
    <row r="7" spans="2:3" x14ac:dyDescent="0.2">
      <c r="B7" s="20" t="s">
        <v>43</v>
      </c>
      <c r="C7" s="21">
        <v>1</v>
      </c>
    </row>
    <row r="8" spans="2:3" x14ac:dyDescent="0.2">
      <c r="B8" s="20" t="s">
        <v>46</v>
      </c>
      <c r="C8" s="21">
        <v>1</v>
      </c>
    </row>
    <row r="9" spans="2:3" x14ac:dyDescent="0.2">
      <c r="B9" s="20" t="s">
        <v>49</v>
      </c>
      <c r="C9" s="21">
        <v>2</v>
      </c>
    </row>
    <row r="10" spans="2:3" x14ac:dyDescent="0.2">
      <c r="B10" s="20" t="s">
        <v>52</v>
      </c>
      <c r="C10" s="21">
        <v>1</v>
      </c>
    </row>
    <row r="11" spans="2:3" x14ac:dyDescent="0.2">
      <c r="B11" s="20" t="s">
        <v>55</v>
      </c>
      <c r="C11" s="21">
        <v>2</v>
      </c>
    </row>
    <row r="12" spans="2:3" x14ac:dyDescent="0.2">
      <c r="B12" s="20" t="s">
        <v>61</v>
      </c>
      <c r="C12" s="21">
        <v>1</v>
      </c>
    </row>
    <row r="13" spans="2:3" x14ac:dyDescent="0.2">
      <c r="B13" s="20" t="s">
        <v>73</v>
      </c>
      <c r="C13" s="21">
        <v>1</v>
      </c>
    </row>
    <row r="14" spans="2:3" x14ac:dyDescent="0.2">
      <c r="B14" s="20" t="s">
        <v>77</v>
      </c>
      <c r="C14" s="21">
        <v>1</v>
      </c>
    </row>
    <row r="15" spans="2:3" x14ac:dyDescent="0.2">
      <c r="B15" s="20" t="s">
        <v>237</v>
      </c>
      <c r="C15" s="21">
        <v>10</v>
      </c>
    </row>
  </sheetData>
  <hyperlinks>
    <hyperlink ref="B5" location="Home!A1" display="Back to Home" xr:uid="{00000000-0004-0000-0300-000000000000}"/>
  </hyperlinks>
  <pageMargins left="0.35" right="0.35" top="0.6" bottom="0.6" header="0.25" footer="0.25"/>
  <pageSetup paperSize="9" fitToHeight="0" orientation="portrait"/>
  <headerFooter>
    <oddFooter>&amp;LRotación de Personal&amp;RPage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7C3AED"/>
    <pageSetUpPr fitToPage="1"/>
  </sheetPr>
  <dimension ref="B1:C13"/>
  <sheetViews>
    <sheetView showGridLines="0" zoomScale="90" zoomScaleNormal="90" workbookViewId="0"/>
  </sheetViews>
  <sheetFormatPr baseColWidth="10" defaultColWidth="8.83203125" defaultRowHeight="15" x14ac:dyDescent="0.2"/>
  <cols>
    <col min="1" max="1" width="3" customWidth="1"/>
    <col min="2" max="2" width="15.83203125" bestFit="1" customWidth="1"/>
    <col min="3" max="3" width="9.5" bestFit="1" customWidth="1"/>
  </cols>
  <sheetData>
    <row r="1" spans="2:3" ht="8" customHeight="1" x14ac:dyDescent="0.2"/>
    <row r="2" spans="2:3" ht="18" customHeight="1" x14ac:dyDescent="0.2">
      <c r="B2" s="5" t="s">
        <v>0</v>
      </c>
    </row>
    <row r="3" spans="2:3" ht="30" customHeight="1" x14ac:dyDescent="0.35">
      <c r="B3" s="13" t="s">
        <v>8</v>
      </c>
    </row>
    <row r="4" spans="2:3" x14ac:dyDescent="0.2">
      <c r="B4" s="5" t="s">
        <v>81</v>
      </c>
    </row>
    <row r="5" spans="2:3" x14ac:dyDescent="0.2">
      <c r="B5" s="4" t="s">
        <v>80</v>
      </c>
    </row>
    <row r="6" spans="2:3" x14ac:dyDescent="0.2">
      <c r="B6" s="19" t="s">
        <v>232</v>
      </c>
      <c r="C6" t="s">
        <v>233</v>
      </c>
    </row>
    <row r="7" spans="2:3" x14ac:dyDescent="0.2">
      <c r="B7" s="20" t="s">
        <v>238</v>
      </c>
      <c r="C7" s="21">
        <v>4</v>
      </c>
    </row>
    <row r="8" spans="2:3" x14ac:dyDescent="0.2">
      <c r="B8" s="20" t="s">
        <v>57</v>
      </c>
      <c r="C8" s="21">
        <v>2</v>
      </c>
    </row>
    <row r="9" spans="2:3" x14ac:dyDescent="0.2">
      <c r="B9" s="20" t="s">
        <v>63</v>
      </c>
      <c r="C9" s="21">
        <v>1</v>
      </c>
    </row>
    <row r="10" spans="2:3" x14ac:dyDescent="0.2">
      <c r="B10" s="20" t="s">
        <v>67</v>
      </c>
      <c r="C10" s="21">
        <v>1</v>
      </c>
    </row>
    <row r="11" spans="2:3" x14ac:dyDescent="0.2">
      <c r="B11" s="20" t="s">
        <v>70</v>
      </c>
      <c r="C11" s="21">
        <v>1</v>
      </c>
    </row>
    <row r="12" spans="2:3" x14ac:dyDescent="0.2">
      <c r="B12" s="20" t="s">
        <v>74</v>
      </c>
      <c r="C12" s="21">
        <v>1</v>
      </c>
    </row>
    <row r="13" spans="2:3" x14ac:dyDescent="0.2">
      <c r="B13" s="20" t="s">
        <v>237</v>
      </c>
      <c r="C13" s="21">
        <v>10</v>
      </c>
    </row>
  </sheetData>
  <hyperlinks>
    <hyperlink ref="B5" location="Home!A1" display="Back to Home" xr:uid="{00000000-0004-0000-0400-000000000000}"/>
  </hyperlinks>
  <pageMargins left="0.35" right="0.35" top="0.6" bottom="0.6" header="0.25" footer="0.25"/>
  <pageSetup paperSize="9" fitToHeight="0" orientation="portrait"/>
  <headerFooter>
    <oddFooter>&amp;LRotación de Personal&amp;RPage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7C3AED"/>
    <pageSetUpPr fitToPage="1"/>
  </sheetPr>
  <dimension ref="B1:C14"/>
  <sheetViews>
    <sheetView showGridLines="0" tabSelected="1" zoomScale="90" zoomScaleNormal="90" workbookViewId="0">
      <selection activeCell="B5" sqref="B5"/>
    </sheetView>
  </sheetViews>
  <sheetFormatPr baseColWidth="10" defaultColWidth="8.83203125" defaultRowHeight="15" x14ac:dyDescent="0.2"/>
  <cols>
    <col min="1" max="1" width="3" customWidth="1"/>
    <col min="2" max="2" width="25.83203125" bestFit="1" customWidth="1"/>
    <col min="3" max="3" width="9.5" bestFit="1" customWidth="1"/>
  </cols>
  <sheetData>
    <row r="1" spans="2:3" ht="8" customHeight="1" x14ac:dyDescent="0.2"/>
    <row r="2" spans="2:3" ht="18" customHeight="1" x14ac:dyDescent="0.2">
      <c r="B2" s="5" t="s">
        <v>0</v>
      </c>
    </row>
    <row r="3" spans="2:3" ht="30" customHeight="1" x14ac:dyDescent="0.35">
      <c r="B3" s="13" t="s">
        <v>9</v>
      </c>
    </row>
    <row r="4" spans="2:3" x14ac:dyDescent="0.2">
      <c r="B4" s="5" t="s">
        <v>81</v>
      </c>
    </row>
    <row r="5" spans="2:3" x14ac:dyDescent="0.2">
      <c r="B5" s="4" t="s">
        <v>80</v>
      </c>
    </row>
    <row r="6" spans="2:3" x14ac:dyDescent="0.2">
      <c r="B6" s="19" t="s">
        <v>232</v>
      </c>
      <c r="C6" t="s">
        <v>233</v>
      </c>
    </row>
    <row r="7" spans="2:3" x14ac:dyDescent="0.2">
      <c r="B7" s="20" t="s">
        <v>238</v>
      </c>
      <c r="C7" s="21">
        <v>4</v>
      </c>
    </row>
    <row r="8" spans="2:3" x14ac:dyDescent="0.2">
      <c r="B8" s="20" t="s">
        <v>58</v>
      </c>
      <c r="C8" s="21">
        <v>1</v>
      </c>
    </row>
    <row r="9" spans="2:3" x14ac:dyDescent="0.2">
      <c r="B9" s="20" t="s">
        <v>64</v>
      </c>
      <c r="C9" s="21">
        <v>1</v>
      </c>
    </row>
    <row r="10" spans="2:3" x14ac:dyDescent="0.2">
      <c r="B10" s="20" t="s">
        <v>68</v>
      </c>
      <c r="C10" s="21">
        <v>1</v>
      </c>
    </row>
    <row r="11" spans="2:3" x14ac:dyDescent="0.2">
      <c r="B11" s="20" t="s">
        <v>71</v>
      </c>
      <c r="C11" s="21">
        <v>1</v>
      </c>
    </row>
    <row r="12" spans="2:3" x14ac:dyDescent="0.2">
      <c r="B12" s="20" t="s">
        <v>75</v>
      </c>
      <c r="C12" s="21">
        <v>1</v>
      </c>
    </row>
    <row r="13" spans="2:3" x14ac:dyDescent="0.2">
      <c r="B13" s="20" t="s">
        <v>79</v>
      </c>
      <c r="C13" s="21">
        <v>1</v>
      </c>
    </row>
    <row r="14" spans="2:3" x14ac:dyDescent="0.2">
      <c r="B14" s="20" t="s">
        <v>237</v>
      </c>
      <c r="C14" s="21">
        <v>10</v>
      </c>
    </row>
  </sheetData>
  <hyperlinks>
    <hyperlink ref="B5" location="Home!A1" display="Back to Home" xr:uid="{00000000-0004-0000-0500-000000000000}"/>
  </hyperlinks>
  <pageMargins left="0.35" right="0.35" top="0.6" bottom="0.6" header="0.25" footer="0.25"/>
  <pageSetup paperSize="9" fitToHeight="0" orientation="portrait"/>
  <headerFooter>
    <oddFooter>&amp;LRotación de Personal&amp;RPage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7C3AED"/>
    <pageSetUpPr fitToPage="1"/>
  </sheetPr>
  <dimension ref="B1:C15"/>
  <sheetViews>
    <sheetView showGridLines="0" zoomScale="90" zoomScaleNormal="90" workbookViewId="0"/>
  </sheetViews>
  <sheetFormatPr baseColWidth="10" defaultColWidth="8.83203125" defaultRowHeight="15" x14ac:dyDescent="0.2"/>
  <cols>
    <col min="1" max="1" width="3" customWidth="1"/>
    <col min="2" max="2" width="19.83203125" bestFit="1" customWidth="1"/>
    <col min="3" max="3" width="9.5" bestFit="1" customWidth="1"/>
  </cols>
  <sheetData>
    <row r="1" spans="2:3" ht="8" customHeight="1" x14ac:dyDescent="0.2"/>
    <row r="2" spans="2:3" ht="18" customHeight="1" x14ac:dyDescent="0.2">
      <c r="B2" s="5" t="s">
        <v>0</v>
      </c>
    </row>
    <row r="3" spans="2:3" ht="30" customHeight="1" x14ac:dyDescent="0.35">
      <c r="B3" s="13" t="s">
        <v>10</v>
      </c>
    </row>
    <row r="4" spans="2:3" x14ac:dyDescent="0.2">
      <c r="B4" s="5" t="s">
        <v>81</v>
      </c>
    </row>
    <row r="5" spans="2:3" x14ac:dyDescent="0.2">
      <c r="B5" s="4" t="s">
        <v>80</v>
      </c>
    </row>
    <row r="6" spans="2:3" x14ac:dyDescent="0.2">
      <c r="B6" s="19" t="s">
        <v>232</v>
      </c>
      <c r="C6" t="s">
        <v>233</v>
      </c>
    </row>
    <row r="7" spans="2:3" x14ac:dyDescent="0.2">
      <c r="B7" s="20" t="s">
        <v>44</v>
      </c>
      <c r="C7" s="21">
        <v>1</v>
      </c>
    </row>
    <row r="8" spans="2:3" x14ac:dyDescent="0.2">
      <c r="B8" s="20" t="s">
        <v>47</v>
      </c>
      <c r="C8" s="21">
        <v>2</v>
      </c>
    </row>
    <row r="9" spans="2:3" x14ac:dyDescent="0.2">
      <c r="B9" s="20" t="s">
        <v>50</v>
      </c>
      <c r="C9" s="21">
        <v>2</v>
      </c>
    </row>
    <row r="10" spans="2:3" x14ac:dyDescent="0.2">
      <c r="B10" s="20" t="s">
        <v>53</v>
      </c>
      <c r="C10" s="21">
        <v>1</v>
      </c>
    </row>
    <row r="11" spans="2:3" x14ac:dyDescent="0.2">
      <c r="B11" s="20" t="s">
        <v>56</v>
      </c>
      <c r="C11" s="21">
        <v>1</v>
      </c>
    </row>
    <row r="12" spans="2:3" x14ac:dyDescent="0.2">
      <c r="B12" s="20" t="s">
        <v>62</v>
      </c>
      <c r="C12" s="21">
        <v>1</v>
      </c>
    </row>
    <row r="13" spans="2:3" x14ac:dyDescent="0.2">
      <c r="B13" s="20" t="s">
        <v>66</v>
      </c>
      <c r="C13" s="21">
        <v>1</v>
      </c>
    </row>
    <row r="14" spans="2:3" x14ac:dyDescent="0.2">
      <c r="B14" s="20" t="s">
        <v>78</v>
      </c>
      <c r="C14" s="21">
        <v>1</v>
      </c>
    </row>
    <row r="15" spans="2:3" x14ac:dyDescent="0.2">
      <c r="B15" s="20" t="s">
        <v>237</v>
      </c>
      <c r="C15" s="21">
        <v>10</v>
      </c>
    </row>
  </sheetData>
  <hyperlinks>
    <hyperlink ref="B5" location="Home!A1" display="Back to Home" xr:uid="{00000000-0004-0000-0600-000000000000}"/>
  </hyperlinks>
  <pageMargins left="0.35" right="0.35" top="0.6" bottom="0.6" header="0.25" footer="0.25"/>
  <pageSetup paperSize="9" fitToHeight="0" orientation="portrait"/>
  <headerFooter>
    <oddFooter>&amp;LRotación de Personal&amp;RPage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7C3AED"/>
    <pageSetUpPr fitToPage="1"/>
  </sheetPr>
  <dimension ref="B1:C10"/>
  <sheetViews>
    <sheetView showGridLines="0" zoomScale="90" zoomScaleNormal="90" workbookViewId="0"/>
  </sheetViews>
  <sheetFormatPr baseColWidth="10" defaultColWidth="8.83203125" defaultRowHeight="15" x14ac:dyDescent="0.2"/>
  <cols>
    <col min="1" max="1" width="3" customWidth="1"/>
    <col min="2" max="2" width="15.83203125" bestFit="1" customWidth="1"/>
    <col min="3" max="3" width="9.5" bestFit="1" customWidth="1"/>
  </cols>
  <sheetData>
    <row r="1" spans="2:3" ht="8" customHeight="1" x14ac:dyDescent="0.2"/>
    <row r="2" spans="2:3" ht="18" customHeight="1" x14ac:dyDescent="0.2">
      <c r="B2" s="5" t="s">
        <v>0</v>
      </c>
    </row>
    <row r="3" spans="2:3" ht="30" customHeight="1" x14ac:dyDescent="0.35">
      <c r="B3" s="13" t="s">
        <v>11</v>
      </c>
    </row>
    <row r="4" spans="2:3" x14ac:dyDescent="0.2">
      <c r="B4" s="5" t="s">
        <v>81</v>
      </c>
    </row>
    <row r="5" spans="2:3" x14ac:dyDescent="0.2">
      <c r="B5" s="4" t="s">
        <v>80</v>
      </c>
    </row>
    <row r="6" spans="2:3" x14ac:dyDescent="0.2">
      <c r="B6" s="19" t="s">
        <v>232</v>
      </c>
      <c r="C6" t="s">
        <v>233</v>
      </c>
    </row>
    <row r="7" spans="2:3" x14ac:dyDescent="0.2">
      <c r="B7" s="20" t="s">
        <v>234</v>
      </c>
      <c r="C7" s="21">
        <v>4</v>
      </c>
    </row>
    <row r="8" spans="2:3" x14ac:dyDescent="0.2">
      <c r="B8" s="20" t="s">
        <v>235</v>
      </c>
      <c r="C8" s="21">
        <v>3</v>
      </c>
    </row>
    <row r="9" spans="2:3" x14ac:dyDescent="0.2">
      <c r="B9" s="20" t="s">
        <v>236</v>
      </c>
      <c r="C9" s="21">
        <v>3</v>
      </c>
    </row>
    <row r="10" spans="2:3" x14ac:dyDescent="0.2">
      <c r="B10" s="20" t="s">
        <v>237</v>
      </c>
      <c r="C10" s="21">
        <v>10</v>
      </c>
    </row>
  </sheetData>
  <hyperlinks>
    <hyperlink ref="B5" location="Home!A1" display="Back to Home" xr:uid="{00000000-0004-0000-0700-000000000000}"/>
  </hyperlinks>
  <pageMargins left="0.35" right="0.35" top="0.6" bottom="0.6" header="0.25" footer="0.25"/>
  <pageSetup paperSize="9" fitToHeight="0" orientation="portrait"/>
  <headerFooter>
    <oddFooter>&amp;LRotación de Personal&amp;RPage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6B7280"/>
    <pageSetUpPr fitToPage="1"/>
  </sheetPr>
  <dimension ref="B1:C9"/>
  <sheetViews>
    <sheetView showGridLines="0" zoomScale="90" zoomScaleNormal="90" workbookViewId="0">
      <selection activeCell="B9" sqref="B9"/>
    </sheetView>
  </sheetViews>
  <sheetFormatPr baseColWidth="10" defaultColWidth="8.83203125" defaultRowHeight="15" x14ac:dyDescent="0.2"/>
  <cols>
    <col min="1" max="1" width="3" customWidth="1"/>
    <col min="2" max="2" width="8" customWidth="1"/>
    <col min="3" max="3" width="90" customWidth="1"/>
  </cols>
  <sheetData>
    <row r="1" spans="2:3" ht="8" customHeight="1" x14ac:dyDescent="0.2"/>
    <row r="2" spans="2:3" ht="28" customHeight="1" x14ac:dyDescent="0.25">
      <c r="B2" s="2" t="s">
        <v>12</v>
      </c>
    </row>
    <row r="4" spans="2:3" ht="36" customHeight="1" x14ac:dyDescent="0.2">
      <c r="B4" s="8" t="s">
        <v>82</v>
      </c>
      <c r="C4" s="9" t="s">
        <v>83</v>
      </c>
    </row>
    <row r="5" spans="2:3" ht="36" customHeight="1" x14ac:dyDescent="0.2">
      <c r="B5" s="8" t="s">
        <v>84</v>
      </c>
      <c r="C5" s="9" t="s">
        <v>85</v>
      </c>
    </row>
    <row r="6" spans="2:3" ht="36" customHeight="1" x14ac:dyDescent="0.2">
      <c r="B6" s="8" t="s">
        <v>86</v>
      </c>
      <c r="C6" s="9" t="s">
        <v>87</v>
      </c>
    </row>
    <row r="7" spans="2:3" ht="36" customHeight="1" x14ac:dyDescent="0.2">
      <c r="B7" s="8" t="s">
        <v>88</v>
      </c>
      <c r="C7" s="9" t="s">
        <v>89</v>
      </c>
    </row>
    <row r="8" spans="2:3" ht="36" customHeight="1" x14ac:dyDescent="0.2">
      <c r="B8" s="8" t="s">
        <v>90</v>
      </c>
      <c r="C8" s="9" t="s">
        <v>91</v>
      </c>
    </row>
    <row r="9" spans="2:3" x14ac:dyDescent="0.2">
      <c r="B9" s="4" t="s">
        <v>80</v>
      </c>
    </row>
  </sheetData>
  <hyperlinks>
    <hyperlink ref="B9" location="Home!A1" display="Back to Home" xr:uid="{00000000-0004-0000-0800-000000000000}"/>
  </hyperlinks>
  <pageMargins left="0.35" right="0.35" top="0.6" bottom="0.6" header="0.25" footer="0.25"/>
  <pageSetup paperSize="9" fitToHeight="0" orientation="portrait"/>
  <headerFooter>
    <oddFooter>&amp;LRotación de Personal&amp;RPage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6B7280"/>
    <pageSetUpPr fitToPage="1"/>
  </sheetPr>
  <dimension ref="B1:C13"/>
  <sheetViews>
    <sheetView showGridLines="0" zoomScale="90" zoomScaleNormal="90" workbookViewId="0"/>
  </sheetViews>
  <sheetFormatPr baseColWidth="10" defaultColWidth="8.83203125" defaultRowHeight="15" x14ac:dyDescent="0.2"/>
  <cols>
    <col min="1" max="1" width="3" customWidth="1"/>
    <col min="2" max="2" width="30" customWidth="1"/>
    <col min="3" max="3" width="90" customWidth="1"/>
  </cols>
  <sheetData>
    <row r="1" spans="2:3" ht="8" customHeight="1" x14ac:dyDescent="0.2"/>
    <row r="2" spans="2:3" ht="26" customHeight="1" x14ac:dyDescent="0.25">
      <c r="B2" s="2" t="s">
        <v>13</v>
      </c>
    </row>
    <row r="4" spans="2:3" ht="16" x14ac:dyDescent="0.2">
      <c r="B4" s="8" t="s">
        <v>92</v>
      </c>
      <c r="C4" s="9" t="s">
        <v>93</v>
      </c>
    </row>
    <row r="5" spans="2:3" ht="32" x14ac:dyDescent="0.2">
      <c r="B5" s="8" t="s">
        <v>94</v>
      </c>
      <c r="C5" s="9" t="s">
        <v>95</v>
      </c>
    </row>
    <row r="6" spans="2:3" ht="16" x14ac:dyDescent="0.2">
      <c r="B6" s="8" t="s">
        <v>96</v>
      </c>
      <c r="C6" s="9" t="s">
        <v>97</v>
      </c>
    </row>
    <row r="7" spans="2:3" ht="16" x14ac:dyDescent="0.2">
      <c r="B7" s="8" t="s">
        <v>6</v>
      </c>
      <c r="C7" s="9" t="s">
        <v>98</v>
      </c>
    </row>
    <row r="8" spans="2:3" ht="16" x14ac:dyDescent="0.2">
      <c r="B8" s="8" t="s">
        <v>99</v>
      </c>
      <c r="C8" s="9" t="s">
        <v>100</v>
      </c>
    </row>
    <row r="9" spans="2:3" ht="16" x14ac:dyDescent="0.2">
      <c r="B9" s="8" t="s">
        <v>101</v>
      </c>
      <c r="C9" s="9" t="s">
        <v>102</v>
      </c>
    </row>
    <row r="11" spans="2:3" x14ac:dyDescent="0.2">
      <c r="B11" s="10" t="s">
        <v>103</v>
      </c>
    </row>
    <row r="12" spans="2:3" x14ac:dyDescent="0.2">
      <c r="B12" s="8" t="s">
        <v>3</v>
      </c>
      <c r="C12" s="5"/>
    </row>
    <row r="13" spans="2:3" x14ac:dyDescent="0.2">
      <c r="B13" s="4" t="s">
        <v>27</v>
      </c>
    </row>
  </sheetData>
  <hyperlinks>
    <hyperlink ref="B13" location="Home!A1" display="← Back to Home" xr:uid="{00000000-0004-0000-0900-000000000000}"/>
  </hyperlinks>
  <pageMargins left="0.35" right="0.35" top="0.6" bottom="0.6" header="0.25" footer="0.25"/>
  <pageSetup paperSize="9" fitToHeight="0" orientation="portrait"/>
  <headerFooter>
    <oddFooter>&amp;LRotación de Personal&amp;RPage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9CA3AF"/>
  </sheetPr>
  <dimension ref="A1:B14"/>
  <sheetViews>
    <sheetView workbookViewId="0"/>
  </sheetViews>
  <sheetFormatPr baseColWidth="10" defaultColWidth="8.83203125" defaultRowHeight="15" x14ac:dyDescent="0.2"/>
  <sheetData>
    <row r="1" spans="1:2" x14ac:dyDescent="0.2">
      <c r="A1" t="s">
        <v>104</v>
      </c>
      <c r="B1" t="s">
        <v>105</v>
      </c>
    </row>
    <row r="2" spans="1:2" x14ac:dyDescent="0.2">
      <c r="A2" t="s">
        <v>106</v>
      </c>
      <c r="B2" t="s">
        <v>107</v>
      </c>
    </row>
    <row r="3" spans="1:2" x14ac:dyDescent="0.2">
      <c r="A3" t="s">
        <v>108</v>
      </c>
      <c r="B3" t="s">
        <v>0</v>
      </c>
    </row>
    <row r="4" spans="1:2" x14ac:dyDescent="0.2">
      <c r="A4" t="s">
        <v>109</v>
      </c>
      <c r="B4" t="s">
        <v>110</v>
      </c>
    </row>
    <row r="5" spans="1:2" x14ac:dyDescent="0.2">
      <c r="A5" t="s">
        <v>111</v>
      </c>
      <c r="B5" t="s">
        <v>112</v>
      </c>
    </row>
    <row r="6" spans="1:2" x14ac:dyDescent="0.2">
      <c r="A6" t="s">
        <v>113</v>
      </c>
      <c r="B6" t="s">
        <v>114</v>
      </c>
    </row>
    <row r="7" spans="1:2" x14ac:dyDescent="0.2">
      <c r="A7" t="s">
        <v>115</v>
      </c>
      <c r="B7" t="s">
        <v>114</v>
      </c>
    </row>
    <row r="8" spans="1:2" x14ac:dyDescent="0.2">
      <c r="A8" t="s">
        <v>116</v>
      </c>
      <c r="B8" t="s">
        <v>117</v>
      </c>
    </row>
    <row r="9" spans="1:2" x14ac:dyDescent="0.2">
      <c r="A9" t="s">
        <v>118</v>
      </c>
      <c r="B9" t="s">
        <v>119</v>
      </c>
    </row>
    <row r="10" spans="1:2" x14ac:dyDescent="0.2">
      <c r="A10" t="s">
        <v>120</v>
      </c>
      <c r="B10" t="s">
        <v>121</v>
      </c>
    </row>
    <row r="11" spans="1:2" x14ac:dyDescent="0.2">
      <c r="A11" t="s">
        <v>122</v>
      </c>
      <c r="B11" t="s">
        <v>123</v>
      </c>
    </row>
    <row r="12" spans="1:2" x14ac:dyDescent="0.2">
      <c r="A12" t="s">
        <v>124</v>
      </c>
      <c r="B12" t="s">
        <v>125</v>
      </c>
    </row>
    <row r="13" spans="1:2" x14ac:dyDescent="0.2">
      <c r="A13" t="s">
        <v>231</v>
      </c>
      <c r="B13" t="s">
        <v>240</v>
      </c>
    </row>
    <row r="14" spans="1:2" x14ac:dyDescent="0.2">
      <c r="A14" t="s">
        <v>241</v>
      </c>
      <c r="B14" t="s">
        <v>239</v>
      </c>
    </row>
  </sheetData>
  <pageMargins left="0.35" right="0.35" top="0.6" bottom="0.6" header="0.25" footer="0.2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9CA3AF"/>
  </sheetPr>
  <dimension ref="A1:G1"/>
  <sheetViews>
    <sheetView workbookViewId="0"/>
  </sheetViews>
  <sheetFormatPr baseColWidth="10" defaultColWidth="8.83203125" defaultRowHeight="15" x14ac:dyDescent="0.2"/>
  <sheetData>
    <row r="1" spans="1:7" x14ac:dyDescent="0.2">
      <c r="A1" s="8" t="s">
        <v>126</v>
      </c>
      <c r="B1" s="8" t="s">
        <v>127</v>
      </c>
      <c r="C1" s="8" t="s">
        <v>128</v>
      </c>
      <c r="D1" s="8" t="s">
        <v>129</v>
      </c>
      <c r="E1" s="8" t="s">
        <v>130</v>
      </c>
      <c r="F1" s="8" t="s">
        <v>131</v>
      </c>
      <c r="G1" s="8" t="s">
        <v>132</v>
      </c>
    </row>
  </sheetData>
  <pageMargins left="0.35" right="0.35" top="0.6" bottom="0.6" header="0.25" footer="0.2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9CA3AF"/>
  </sheetPr>
  <dimension ref="A1:J2"/>
  <sheetViews>
    <sheetView workbookViewId="0"/>
  </sheetViews>
  <sheetFormatPr baseColWidth="10" defaultColWidth="8.83203125" defaultRowHeight="15" x14ac:dyDescent="0.2"/>
  <sheetData>
    <row r="1" spans="1:10" x14ac:dyDescent="0.2">
      <c r="A1" s="8" t="s">
        <v>133</v>
      </c>
      <c r="B1" s="8" t="s">
        <v>126</v>
      </c>
      <c r="C1" s="8" t="s">
        <v>134</v>
      </c>
      <c r="D1" s="8" t="s">
        <v>135</v>
      </c>
      <c r="E1" s="8" t="s">
        <v>136</v>
      </c>
      <c r="F1" s="8" t="s">
        <v>137</v>
      </c>
      <c r="G1" s="8" t="s">
        <v>138</v>
      </c>
      <c r="H1" s="8" t="s">
        <v>139</v>
      </c>
      <c r="I1" s="8" t="s">
        <v>140</v>
      </c>
      <c r="J1" s="8" t="s">
        <v>141</v>
      </c>
    </row>
    <row r="2" spans="1:10" x14ac:dyDescent="0.2">
      <c r="A2" t="s">
        <v>142</v>
      </c>
      <c r="B2" t="s">
        <v>3</v>
      </c>
      <c r="C2" t="s">
        <v>143</v>
      </c>
      <c r="D2" t="s">
        <v>144</v>
      </c>
      <c r="E2" t="s">
        <v>3</v>
      </c>
      <c r="F2" t="s">
        <v>145</v>
      </c>
      <c r="G2" t="s">
        <v>28</v>
      </c>
      <c r="H2" t="s">
        <v>146</v>
      </c>
    </row>
  </sheetData>
  <pageMargins left="0.35" right="0.35" top="0.6" bottom="0.6" header="0.25" footer="0.2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9CA3AF"/>
  </sheetPr>
  <dimension ref="A1:T15"/>
  <sheetViews>
    <sheetView workbookViewId="0"/>
  </sheetViews>
  <sheetFormatPr baseColWidth="10" defaultColWidth="8.83203125" defaultRowHeight="15" x14ac:dyDescent="0.2"/>
  <sheetData>
    <row r="1" spans="1:20" x14ac:dyDescent="0.2">
      <c r="A1" s="8" t="s">
        <v>133</v>
      </c>
      <c r="B1" s="8" t="s">
        <v>147</v>
      </c>
      <c r="C1" s="8" t="s">
        <v>148</v>
      </c>
      <c r="D1" s="8" t="s">
        <v>149</v>
      </c>
      <c r="E1" s="8" t="s">
        <v>150</v>
      </c>
      <c r="F1" s="8" t="s">
        <v>151</v>
      </c>
      <c r="G1" s="8" t="s">
        <v>152</v>
      </c>
      <c r="H1" s="8" t="s">
        <v>153</v>
      </c>
      <c r="I1" s="8" t="s">
        <v>154</v>
      </c>
      <c r="J1" s="8" t="s">
        <v>155</v>
      </c>
      <c r="K1" s="8" t="s">
        <v>156</v>
      </c>
      <c r="L1" s="8" t="s">
        <v>157</v>
      </c>
      <c r="M1" s="8" t="s">
        <v>158</v>
      </c>
      <c r="N1" s="8" t="s">
        <v>159</v>
      </c>
      <c r="O1" s="8" t="s">
        <v>160</v>
      </c>
      <c r="P1" s="8" t="s">
        <v>161</v>
      </c>
      <c r="Q1" s="8" t="s">
        <v>162</v>
      </c>
      <c r="R1" s="8" t="s">
        <v>163</v>
      </c>
      <c r="S1" s="8" t="s">
        <v>164</v>
      </c>
      <c r="T1" s="8" t="s">
        <v>165</v>
      </c>
    </row>
    <row r="2" spans="1:20" x14ac:dyDescent="0.2">
      <c r="A2" t="s">
        <v>142</v>
      </c>
      <c r="B2" t="s">
        <v>28</v>
      </c>
      <c r="C2" t="s">
        <v>145</v>
      </c>
      <c r="D2" t="s">
        <v>166</v>
      </c>
      <c r="E2" t="s">
        <v>167</v>
      </c>
      <c r="F2" t="s">
        <v>121</v>
      </c>
      <c r="G2" t="s">
        <v>146</v>
      </c>
      <c r="H2" t="s">
        <v>146</v>
      </c>
      <c r="I2" t="s">
        <v>146</v>
      </c>
      <c r="J2" t="s">
        <v>146</v>
      </c>
      <c r="Q2" t="s">
        <v>146</v>
      </c>
      <c r="R2" t="s">
        <v>146</v>
      </c>
      <c r="S2" t="s">
        <v>146</v>
      </c>
    </row>
    <row r="3" spans="1:20" x14ac:dyDescent="0.2">
      <c r="A3" t="s">
        <v>142</v>
      </c>
      <c r="B3" t="s">
        <v>29</v>
      </c>
      <c r="C3" t="s">
        <v>168</v>
      </c>
      <c r="D3" t="s">
        <v>169</v>
      </c>
      <c r="E3" t="s">
        <v>170</v>
      </c>
      <c r="F3" t="s">
        <v>146</v>
      </c>
      <c r="G3" t="s">
        <v>146</v>
      </c>
      <c r="H3" t="s">
        <v>121</v>
      </c>
      <c r="I3" t="s">
        <v>146</v>
      </c>
      <c r="J3" t="s">
        <v>146</v>
      </c>
      <c r="Q3" t="s">
        <v>121</v>
      </c>
      <c r="R3" t="s">
        <v>121</v>
      </c>
      <c r="S3" t="s">
        <v>121</v>
      </c>
    </row>
    <row r="4" spans="1:20" x14ac:dyDescent="0.2">
      <c r="A4" t="s">
        <v>142</v>
      </c>
      <c r="B4" t="s">
        <v>30</v>
      </c>
      <c r="C4" t="s">
        <v>171</v>
      </c>
      <c r="D4" t="s">
        <v>169</v>
      </c>
      <c r="E4" t="s">
        <v>172</v>
      </c>
      <c r="F4" t="s">
        <v>146</v>
      </c>
      <c r="G4" t="s">
        <v>146</v>
      </c>
      <c r="H4" t="s">
        <v>146</v>
      </c>
      <c r="I4" t="s">
        <v>146</v>
      </c>
      <c r="J4" t="s">
        <v>146</v>
      </c>
      <c r="P4" t="s">
        <v>173</v>
      </c>
      <c r="Q4" t="s">
        <v>121</v>
      </c>
      <c r="R4" t="s">
        <v>121</v>
      </c>
      <c r="S4" t="s">
        <v>174</v>
      </c>
    </row>
    <row r="5" spans="1:20" x14ac:dyDescent="0.2">
      <c r="A5" t="s">
        <v>142</v>
      </c>
      <c r="B5" t="s">
        <v>31</v>
      </c>
      <c r="C5" t="s">
        <v>175</v>
      </c>
      <c r="D5" t="s">
        <v>169</v>
      </c>
      <c r="E5" t="s">
        <v>170</v>
      </c>
      <c r="F5" t="s">
        <v>146</v>
      </c>
      <c r="G5" t="s">
        <v>146</v>
      </c>
      <c r="H5" t="s">
        <v>146</v>
      </c>
      <c r="I5" t="s">
        <v>146</v>
      </c>
      <c r="J5" t="s">
        <v>146</v>
      </c>
      <c r="Q5" t="s">
        <v>121</v>
      </c>
      <c r="R5" t="s">
        <v>121</v>
      </c>
      <c r="S5" t="s">
        <v>176</v>
      </c>
    </row>
    <row r="6" spans="1:20" x14ac:dyDescent="0.2">
      <c r="A6" t="s">
        <v>142</v>
      </c>
      <c r="B6" t="s">
        <v>32</v>
      </c>
      <c r="C6" t="s">
        <v>177</v>
      </c>
      <c r="D6" t="s">
        <v>178</v>
      </c>
      <c r="E6" t="s">
        <v>179</v>
      </c>
      <c r="F6" t="s">
        <v>146</v>
      </c>
      <c r="G6" t="s">
        <v>146</v>
      </c>
      <c r="H6" t="s">
        <v>121</v>
      </c>
      <c r="I6" t="s">
        <v>146</v>
      </c>
      <c r="J6" t="s">
        <v>146</v>
      </c>
      <c r="Q6" t="s">
        <v>121</v>
      </c>
      <c r="R6" t="s">
        <v>121</v>
      </c>
      <c r="S6" t="s">
        <v>180</v>
      </c>
    </row>
    <row r="7" spans="1:20" x14ac:dyDescent="0.2">
      <c r="A7" t="s">
        <v>142</v>
      </c>
      <c r="B7" t="s">
        <v>33</v>
      </c>
      <c r="C7" t="s">
        <v>181</v>
      </c>
      <c r="D7" t="s">
        <v>178</v>
      </c>
      <c r="E7" t="s">
        <v>179</v>
      </c>
      <c r="F7" t="s">
        <v>146</v>
      </c>
      <c r="G7" t="s">
        <v>146</v>
      </c>
      <c r="H7" t="s">
        <v>146</v>
      </c>
      <c r="I7" t="s">
        <v>146</v>
      </c>
      <c r="J7" t="s">
        <v>146</v>
      </c>
      <c r="Q7" t="s">
        <v>121</v>
      </c>
      <c r="R7" t="s">
        <v>121</v>
      </c>
      <c r="S7" t="s">
        <v>182</v>
      </c>
    </row>
    <row r="8" spans="1:20" x14ac:dyDescent="0.2">
      <c r="A8" t="s">
        <v>142</v>
      </c>
      <c r="B8" t="s">
        <v>34</v>
      </c>
      <c r="C8" t="s">
        <v>183</v>
      </c>
      <c r="D8" t="s">
        <v>169</v>
      </c>
      <c r="E8" t="s">
        <v>172</v>
      </c>
      <c r="F8" t="s">
        <v>146</v>
      </c>
      <c r="G8" t="s">
        <v>146</v>
      </c>
      <c r="H8" t="s">
        <v>146</v>
      </c>
      <c r="I8" t="s">
        <v>121</v>
      </c>
      <c r="J8" t="s">
        <v>146</v>
      </c>
      <c r="N8" t="s">
        <v>184</v>
      </c>
      <c r="Q8" t="s">
        <v>121</v>
      </c>
      <c r="R8" t="s">
        <v>121</v>
      </c>
      <c r="S8" t="s">
        <v>185</v>
      </c>
      <c r="T8" t="s">
        <v>186</v>
      </c>
    </row>
    <row r="9" spans="1:20" x14ac:dyDescent="0.2">
      <c r="A9" t="s">
        <v>142</v>
      </c>
      <c r="B9" t="s">
        <v>35</v>
      </c>
      <c r="C9" t="s">
        <v>187</v>
      </c>
      <c r="D9" t="s">
        <v>169</v>
      </c>
      <c r="E9" t="s">
        <v>172</v>
      </c>
      <c r="F9" t="s">
        <v>146</v>
      </c>
      <c r="G9" t="s">
        <v>146</v>
      </c>
      <c r="H9" t="s">
        <v>146</v>
      </c>
      <c r="I9" t="s">
        <v>146</v>
      </c>
      <c r="J9" t="s">
        <v>146</v>
      </c>
      <c r="P9" t="s">
        <v>188</v>
      </c>
      <c r="Q9" t="s">
        <v>121</v>
      </c>
      <c r="R9" t="s">
        <v>121</v>
      </c>
      <c r="S9" t="s">
        <v>189</v>
      </c>
    </row>
    <row r="10" spans="1:20" x14ac:dyDescent="0.2">
      <c r="A10" t="s">
        <v>142</v>
      </c>
      <c r="B10" t="s">
        <v>36</v>
      </c>
      <c r="C10" t="s">
        <v>190</v>
      </c>
      <c r="D10" t="s">
        <v>169</v>
      </c>
      <c r="E10" t="s">
        <v>170</v>
      </c>
      <c r="F10" t="s">
        <v>146</v>
      </c>
      <c r="G10" t="s">
        <v>146</v>
      </c>
      <c r="H10" t="s">
        <v>146</v>
      </c>
      <c r="I10" t="s">
        <v>146</v>
      </c>
      <c r="J10" t="s">
        <v>146</v>
      </c>
      <c r="Q10" t="s">
        <v>121</v>
      </c>
      <c r="R10" t="s">
        <v>121</v>
      </c>
      <c r="S10" t="s">
        <v>191</v>
      </c>
    </row>
    <row r="11" spans="1:20" x14ac:dyDescent="0.2">
      <c r="A11" t="s">
        <v>142</v>
      </c>
      <c r="B11" t="s">
        <v>37</v>
      </c>
      <c r="C11" t="s">
        <v>192</v>
      </c>
      <c r="D11" t="s">
        <v>166</v>
      </c>
      <c r="E11" t="s">
        <v>193</v>
      </c>
      <c r="F11" t="s">
        <v>146</v>
      </c>
      <c r="G11" t="s">
        <v>146</v>
      </c>
      <c r="H11" t="s">
        <v>146</v>
      </c>
      <c r="I11" t="s">
        <v>121</v>
      </c>
      <c r="J11" t="s">
        <v>146</v>
      </c>
      <c r="Q11" t="s">
        <v>121</v>
      </c>
      <c r="R11" t="s">
        <v>121</v>
      </c>
      <c r="S11" t="s">
        <v>194</v>
      </c>
      <c r="T11" t="s">
        <v>195</v>
      </c>
    </row>
    <row r="12" spans="1:20" x14ac:dyDescent="0.2">
      <c r="A12" t="s">
        <v>142</v>
      </c>
      <c r="B12" t="s">
        <v>38</v>
      </c>
      <c r="C12" t="s">
        <v>196</v>
      </c>
      <c r="D12" t="s">
        <v>166</v>
      </c>
      <c r="E12" t="s">
        <v>193</v>
      </c>
      <c r="F12" t="s">
        <v>146</v>
      </c>
      <c r="G12" t="s">
        <v>146</v>
      </c>
      <c r="H12" t="s">
        <v>146</v>
      </c>
      <c r="I12" t="s">
        <v>121</v>
      </c>
      <c r="J12" t="s">
        <v>146</v>
      </c>
      <c r="Q12" t="s">
        <v>121</v>
      </c>
      <c r="R12" t="s">
        <v>121</v>
      </c>
      <c r="S12" t="s">
        <v>197</v>
      </c>
      <c r="T12" t="s">
        <v>198</v>
      </c>
    </row>
    <row r="13" spans="1:20" x14ac:dyDescent="0.2">
      <c r="A13" t="s">
        <v>142</v>
      </c>
      <c r="B13" t="s">
        <v>39</v>
      </c>
      <c r="C13" t="s">
        <v>199</v>
      </c>
      <c r="D13" t="s">
        <v>169</v>
      </c>
      <c r="E13" t="s">
        <v>170</v>
      </c>
      <c r="F13" t="s">
        <v>146</v>
      </c>
      <c r="G13" t="s">
        <v>146</v>
      </c>
      <c r="H13" t="s">
        <v>146</v>
      </c>
      <c r="I13" t="s">
        <v>121</v>
      </c>
      <c r="J13" t="s">
        <v>146</v>
      </c>
      <c r="Q13" t="s">
        <v>121</v>
      </c>
      <c r="R13" t="s">
        <v>121</v>
      </c>
      <c r="S13" t="s">
        <v>200</v>
      </c>
      <c r="T13" t="s">
        <v>201</v>
      </c>
    </row>
    <row r="14" spans="1:20" x14ac:dyDescent="0.2">
      <c r="A14" t="s">
        <v>142</v>
      </c>
      <c r="B14" t="s">
        <v>40</v>
      </c>
      <c r="C14" t="s">
        <v>202</v>
      </c>
      <c r="D14" t="s">
        <v>178</v>
      </c>
      <c r="E14" t="s">
        <v>170</v>
      </c>
      <c r="F14" t="s">
        <v>146</v>
      </c>
      <c r="G14" t="s">
        <v>146</v>
      </c>
      <c r="H14" t="s">
        <v>146</v>
      </c>
      <c r="I14" t="s">
        <v>121</v>
      </c>
      <c r="J14" t="s">
        <v>146</v>
      </c>
      <c r="Q14" t="s">
        <v>121</v>
      </c>
      <c r="R14" t="s">
        <v>121</v>
      </c>
      <c r="S14" t="s">
        <v>203</v>
      </c>
      <c r="T14" t="s">
        <v>204</v>
      </c>
    </row>
    <row r="15" spans="1:20" x14ac:dyDescent="0.2">
      <c r="A15" t="s">
        <v>142</v>
      </c>
      <c r="B15" t="s">
        <v>41</v>
      </c>
      <c r="C15" t="s">
        <v>205</v>
      </c>
      <c r="D15" t="s">
        <v>169</v>
      </c>
      <c r="E15" t="s">
        <v>170</v>
      </c>
      <c r="F15" t="s">
        <v>146</v>
      </c>
      <c r="G15" t="s">
        <v>146</v>
      </c>
      <c r="H15" t="s">
        <v>146</v>
      </c>
      <c r="I15" t="s">
        <v>146</v>
      </c>
      <c r="J15" t="s">
        <v>146</v>
      </c>
      <c r="Q15" t="s">
        <v>121</v>
      </c>
      <c r="R15" t="s">
        <v>121</v>
      </c>
      <c r="S15" t="s">
        <v>206</v>
      </c>
    </row>
  </sheetData>
  <pageMargins left="0.35" right="0.35" top="0.6" bottom="0.6" header="0.25" footer="0.2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9CA3AF"/>
  </sheetPr>
  <dimension ref="A1:F4"/>
  <sheetViews>
    <sheetView workbookViewId="0"/>
  </sheetViews>
  <sheetFormatPr baseColWidth="10" defaultColWidth="8.83203125" defaultRowHeight="15" x14ac:dyDescent="0.2"/>
  <sheetData>
    <row r="1" spans="1:6" x14ac:dyDescent="0.2">
      <c r="A1" s="8" t="s">
        <v>133</v>
      </c>
      <c r="B1" s="8" t="s">
        <v>148</v>
      </c>
      <c r="C1" s="8" t="s">
        <v>207</v>
      </c>
      <c r="D1" s="8" t="s">
        <v>208</v>
      </c>
      <c r="E1" s="8" t="s">
        <v>209</v>
      </c>
      <c r="F1" s="8" t="s">
        <v>210</v>
      </c>
    </row>
    <row r="2" spans="1:6" x14ac:dyDescent="0.2">
      <c r="A2" t="s">
        <v>142</v>
      </c>
      <c r="B2" t="s">
        <v>177</v>
      </c>
      <c r="C2" t="s">
        <v>153</v>
      </c>
      <c r="D2" t="s">
        <v>211</v>
      </c>
      <c r="E2" t="s">
        <v>212</v>
      </c>
      <c r="F2" t="s">
        <v>213</v>
      </c>
    </row>
    <row r="3" spans="1:6" x14ac:dyDescent="0.2">
      <c r="A3" t="s">
        <v>142</v>
      </c>
      <c r="B3" t="s">
        <v>145</v>
      </c>
      <c r="C3" t="s">
        <v>153</v>
      </c>
      <c r="D3" t="s">
        <v>211</v>
      </c>
      <c r="E3" t="s">
        <v>214</v>
      </c>
      <c r="F3" t="s">
        <v>213</v>
      </c>
    </row>
    <row r="4" spans="1:6" x14ac:dyDescent="0.2">
      <c r="A4" t="s">
        <v>142</v>
      </c>
      <c r="B4" t="s">
        <v>168</v>
      </c>
      <c r="C4" t="s">
        <v>153</v>
      </c>
      <c r="D4" t="s">
        <v>211</v>
      </c>
      <c r="E4" t="s">
        <v>215</v>
      </c>
      <c r="F4" t="s">
        <v>213</v>
      </c>
    </row>
  </sheetData>
  <pageMargins left="0.35" right="0.35" top="0.6" bottom="0.6" header="0.25" footer="0.2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9CA3AF"/>
  </sheetPr>
  <dimension ref="A1:F1"/>
  <sheetViews>
    <sheetView workbookViewId="0"/>
  </sheetViews>
  <sheetFormatPr baseColWidth="10" defaultColWidth="8.83203125" defaultRowHeight="15" x14ac:dyDescent="0.2"/>
  <sheetData>
    <row r="1" spans="1:6" x14ac:dyDescent="0.2">
      <c r="A1" s="8" t="s">
        <v>133</v>
      </c>
      <c r="B1" s="8" t="s">
        <v>216</v>
      </c>
      <c r="C1" s="8" t="s">
        <v>217</v>
      </c>
      <c r="D1" s="8" t="s">
        <v>218</v>
      </c>
      <c r="E1" s="8" t="s">
        <v>164</v>
      </c>
      <c r="F1" s="8" t="s">
        <v>219</v>
      </c>
    </row>
  </sheetData>
  <pageMargins left="0.35" right="0.35" top="0.6" bottom="0.6" header="0.25" footer="0.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9CA3AF"/>
  </sheetPr>
  <dimension ref="A1:G1"/>
  <sheetViews>
    <sheetView workbookViewId="0"/>
  </sheetViews>
  <sheetFormatPr baseColWidth="10" defaultColWidth="8.83203125" defaultRowHeight="15" x14ac:dyDescent="0.2"/>
  <sheetData>
    <row r="1" spans="1:7" x14ac:dyDescent="0.2">
      <c r="A1" s="8" t="s">
        <v>220</v>
      </c>
      <c r="B1" s="8" t="s">
        <v>133</v>
      </c>
      <c r="C1" s="8" t="s">
        <v>207</v>
      </c>
      <c r="D1" s="8" t="s">
        <v>221</v>
      </c>
      <c r="E1" s="8" t="s">
        <v>222</v>
      </c>
      <c r="F1" s="8" t="s">
        <v>223</v>
      </c>
      <c r="G1" s="8" t="s">
        <v>224</v>
      </c>
    </row>
  </sheetData>
  <pageMargins left="0.35" right="0.35" top="0.6" bottom="0.6" header="0.25" footer="0.2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9CA3AF"/>
  </sheetPr>
  <dimension ref="A1:H1"/>
  <sheetViews>
    <sheetView workbookViewId="0"/>
  </sheetViews>
  <sheetFormatPr baseColWidth="10" defaultColWidth="8.83203125" defaultRowHeight="15" x14ac:dyDescent="0.2"/>
  <cols>
    <col min="1" max="1" width="20" customWidth="1"/>
    <col min="2" max="2" width="16" customWidth="1"/>
    <col min="3" max="3" width="18" customWidth="1"/>
    <col min="4" max="5" width="12" customWidth="1"/>
    <col min="6" max="6" width="18" customWidth="1"/>
    <col min="7" max="8" width="30" customWidth="1"/>
  </cols>
  <sheetData>
    <row r="1" spans="1:8" x14ac:dyDescent="0.2">
      <c r="A1" s="1" t="s">
        <v>225</v>
      </c>
      <c r="B1" s="1" t="s">
        <v>226</v>
      </c>
      <c r="C1" s="1" t="s">
        <v>133</v>
      </c>
      <c r="D1" s="1" t="s">
        <v>227</v>
      </c>
      <c r="E1" s="1" t="s">
        <v>228</v>
      </c>
      <c r="F1" s="1" t="s">
        <v>148</v>
      </c>
      <c r="G1" s="1" t="s">
        <v>229</v>
      </c>
      <c r="H1" s="1" t="s">
        <v>230</v>
      </c>
    </row>
  </sheetData>
  <pageMargins left="0.35" right="0.35" top="0.6" bottom="0.6" header="0.25" footer="0.2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11</vt:i4>
      </vt:variant>
    </vt:vector>
  </HeadingPairs>
  <TitlesOfParts>
    <vt:vector size="22" baseType="lpstr">
      <vt:lpstr>Home</vt:lpstr>
      <vt:lpstr>Dashboard</vt:lpstr>
      <vt:lpstr>Empleados</vt:lpstr>
      <vt:lpstr>Rotación por Departamento</vt:lpstr>
      <vt:lpstr>Rotación por Tipo de Salida</vt:lpstr>
      <vt:lpstr>Rotación por Motivo de Salida</vt:lpstr>
      <vt:lpstr>Rotación por Puesto</vt:lpstr>
      <vt:lpstr>Rotación por Rango de Antigüeda</vt:lpstr>
      <vt:lpstr>Instrucciones de Uso</vt:lpstr>
      <vt:lpstr>Help</vt:lpstr>
      <vt:lpstr>_audit_log</vt:lpstr>
      <vt:lpstr>Dashboard!Área_de_impresión</vt:lpstr>
      <vt:lpstr>Empleados!Área_de_impresión</vt:lpstr>
      <vt:lpstr>Help!Área_de_impresión</vt:lpstr>
      <vt:lpstr>Home!Área_de_impresión</vt:lpstr>
      <vt:lpstr>'Instrucciones de Uso'!Área_de_impresión</vt:lpstr>
      <vt:lpstr>'Rotación por Departamento'!Área_de_impresión</vt:lpstr>
      <vt:lpstr>'Rotación por Motivo de Salida'!Área_de_impresión</vt:lpstr>
      <vt:lpstr>'Rotación por Puesto'!Área_de_impresión</vt:lpstr>
      <vt:lpstr>'Rotación por Rango de Antigüeda'!Área_de_impresión</vt:lpstr>
      <vt:lpstr>'Rotación por Tipo de Salida'!Área_de_impresión</vt:lpstr>
      <vt:lpstr>Empleados!Títulos_a_imprimir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Rotación de Personal</dc:title>
  <dc:creator>SQLForge Excel target</dc:creator>
  <cp:lastModifiedBy>Angel Salazar</cp:lastModifiedBy>
  <dcterms:created xsi:type="dcterms:W3CDTF">2026-06-20T21:12:45Z</dcterms:created>
  <dcterms:modified xsi:type="dcterms:W3CDTF">2026-06-21T23:53:47Z</dcterms:modified>
</cp:coreProperties>
</file>